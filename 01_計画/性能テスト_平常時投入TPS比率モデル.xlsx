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比率入力" sheetId="2" state="visible" r:id="rId2"/>
    <sheet name="TPS明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%"/>
    <numFmt numFmtId="166" formatCode="0.0"/>
  </numFmts>
  <fonts count="9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  <font>
      <b val="1"/>
      <color rgb="001F4E79"/>
    </font>
    <font>
      <b val="1"/>
      <color rgb="00FFFFFF"/>
    </font>
    <font>
      <b val="1"/>
      <color rgb="001F4E79"/>
      <sz val="14"/>
    </font>
    <font>
      <color rgb="00000000"/>
      <sz val="11"/>
    </font>
    <font>
      <b val="1"/>
      <color rgb="001F4E79"/>
      <sz val="12"/>
    </font>
    <font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2" borderId="1" pivotButton="0" quotePrefix="0" xfId="0"/>
    <xf numFmtId="164" fontId="1" fillId="5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1" fillId="5" borderId="1" pivotButton="0" quotePrefix="0" xfId="0"/>
    <xf numFmtId="2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CBS構築STEP2 単独性能テスト｜平常時投入TPS 比率モデル（関数版）</t>
        </is>
      </c>
    </row>
    <row r="2">
      <c r="A2" s="2" t="inlineStr"/>
    </row>
    <row r="3">
      <c r="A3" s="3" t="inlineStr">
        <is>
          <t>使い方</t>
        </is>
      </c>
    </row>
    <row r="4">
      <c r="A4" s="2" t="inlineStr">
        <is>
          <t>1. 「比率入力」シートの黄色セル（総TPS・各比率）を編集すると、「TPS明細」が自動再計算されます。</t>
        </is>
      </c>
    </row>
    <row r="5">
      <c r="A5" s="2" t="inlineStr">
        <is>
          <t>2. 各比率は合計1でなくてもOK。明細側で「比率/合計」に正規化して計算します（相対値で調整可能）。</t>
        </is>
      </c>
    </row>
    <row r="6">
      <c r="A6" s="2" t="inlineStr">
        <is>
          <t>3. 「TPS明細」は NW × MTI × 仕向方向 × IC/MS の全パターン（10×2×2×2＝80行）。</t>
        </is>
      </c>
    </row>
    <row r="7">
      <c r="A7" s="2" t="inlineStr">
        <is>
          <t>4. 合成比率＝NW比率×MTI比率×方向比率×IC/MS比率（正規化後）。TPS＝総TPS×合成比率。全行合計＝総TPS。</t>
        </is>
      </c>
    </row>
    <row r="8">
      <c r="A8" s="2" t="inlineStr"/>
    </row>
    <row r="9">
      <c r="A9" s="3" t="inlineStr">
        <is>
          <t>データ出所・既定値</t>
        </is>
      </c>
    </row>
    <row r="10">
      <c r="A10" s="2" t="inlineStr">
        <is>
          <t>・NW比率：計画書「3.1.共通ST」表.GFP投入件数の本来比率（改定前・V列）。見直し件数(Y)は不採用。</t>
        </is>
      </c>
    </row>
    <row r="11">
      <c r="A11" s="2" t="inlineStr">
        <is>
          <t>・MTI/IC・MS：計画書「表.IC比率」（ICオーソリ67.69%/ICアドバイス20.05%/MS12.26%）から導出。</t>
        </is>
      </c>
    </row>
    <row r="12">
      <c r="A12" s="2" t="inlineStr">
        <is>
          <t>・仕向方向(被仕向/仕向)：実データ無のため暫定値(0.8/0.2)。要調整。</t>
        </is>
      </c>
    </row>
    <row r="13">
      <c r="A13" s="2" t="inlineStr"/>
    </row>
    <row r="14">
      <c r="A14" s="4" t="inlineStr">
        <is>
          <t>注意</t>
        </is>
      </c>
    </row>
    <row r="15">
      <c r="A15" s="2" t="inlineStr">
        <is>
          <t>・最低1TPS補正（0回避）は明細には未適用（素の関数値）。最適TPS検討後に適用方針を決める想定。</t>
        </is>
      </c>
    </row>
    <row r="16">
      <c r="A16" s="2" t="inlineStr">
        <is>
          <t>・MTIとIC/MSは同一データ由来のため独立性は近似。NW別の実MTI/IC比率が必要なら別途取得。</t>
        </is>
      </c>
    </row>
    <row r="17">
      <c r="A17" s="2" t="inlineStr">
        <is>
          <t>・「など」の追加軸（取引種別/代行区分等）は列・シートを足して拡張可能。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4" customWidth="1" min="3" max="3"/>
  </cols>
  <sheetData>
    <row r="1">
      <c r="A1" s="5" t="inlineStr">
        <is>
          <t>総TPS（編集可）</t>
        </is>
      </c>
      <c r="B1" s="6" t="n">
        <v>100</v>
      </c>
      <c r="C1" s="7" t="inlineStr">
        <is>
          <t>← この値と各比率を変えると明細TPSが自動再計算されます（黄色セル＝編集可）</t>
        </is>
      </c>
    </row>
    <row r="3">
      <c r="A3" s="8" t="inlineStr">
        <is>
          <t>① NW（被仕向）比率  ※本来＝改定前比率（V列）</t>
        </is>
      </c>
      <c r="B3" s="9" t="n"/>
      <c r="C3" s="9" t="n"/>
    </row>
    <row r="4">
      <c r="A4" s="10" t="inlineStr">
        <is>
          <t>NW</t>
        </is>
      </c>
      <c r="B4" s="10" t="inlineStr">
        <is>
          <t>本番実績(件)</t>
        </is>
      </c>
      <c r="C4" s="10" t="inlineStr">
        <is>
          <t>比率(編集可)</t>
        </is>
      </c>
    </row>
    <row r="5">
      <c r="A5" s="11" t="inlineStr">
        <is>
          <t>VisaNet</t>
        </is>
      </c>
      <c r="B5" s="11" t="n">
        <v>48100723</v>
      </c>
      <c r="C5" s="12" t="n">
        <v>0.443713</v>
      </c>
    </row>
    <row r="6">
      <c r="A6" s="11" t="inlineStr">
        <is>
          <t>J-Link</t>
        </is>
      </c>
      <c r="B6" s="11" t="n">
        <v>40534546</v>
      </c>
      <c r="C6" s="12" t="n">
        <v>0.373918</v>
      </c>
    </row>
    <row r="7">
      <c r="A7" s="11" t="inlineStr">
        <is>
          <t>FEP</t>
        </is>
      </c>
      <c r="B7" s="11" t="inlineStr">
        <is>
          <t>※CARDNET1aに包含</t>
        </is>
      </c>
      <c r="C7" s="12" t="n">
        <v>0.079441</v>
      </c>
    </row>
    <row r="8">
      <c r="A8" s="11" t="inlineStr">
        <is>
          <t>CARDNET(1a)</t>
        </is>
      </c>
      <c r="B8" s="11" t="n">
        <v>12917701</v>
      </c>
      <c r="C8" s="12" t="n">
        <v>0.03972</v>
      </c>
    </row>
    <row r="9">
      <c r="A9" s="11" t="inlineStr">
        <is>
          <t>DFS</t>
        </is>
      </c>
      <c r="B9" s="11" t="n">
        <v>3869401</v>
      </c>
      <c r="C9" s="12" t="n">
        <v>0.035694</v>
      </c>
    </row>
    <row r="10">
      <c r="A10" s="11" t="inlineStr">
        <is>
          <t>BankNet</t>
        </is>
      </c>
      <c r="B10" s="11" t="n">
        <v>1865236</v>
      </c>
      <c r="C10" s="12" t="n">
        <v>0.017206</v>
      </c>
    </row>
    <row r="11">
      <c r="A11" s="11" t="inlineStr">
        <is>
          <t>CARDNET(UP)</t>
        </is>
      </c>
      <c r="B11" s="11" t="n">
        <v>653684</v>
      </c>
      <c r="C11" s="12" t="n">
        <v>0.00603</v>
      </c>
    </row>
    <row r="12">
      <c r="A12" s="11" t="inlineStr">
        <is>
          <t>AEGN</t>
        </is>
      </c>
      <c r="B12" s="11" t="n">
        <v>416101</v>
      </c>
      <c r="C12" s="12" t="n">
        <v>0.003838</v>
      </c>
    </row>
    <row r="13">
      <c r="A13" s="11" t="inlineStr">
        <is>
          <t>NYCE</t>
        </is>
      </c>
      <c r="B13" s="11" t="n">
        <v>23818</v>
      </c>
      <c r="C13" s="12" t="n">
        <v>0.00022</v>
      </c>
    </row>
    <row r="14">
      <c r="A14" s="11" t="inlineStr">
        <is>
          <t>PA</t>
        </is>
      </c>
      <c r="B14" s="11" t="n">
        <v>23782</v>
      </c>
      <c r="C14" s="12" t="n">
        <v>0.000219</v>
      </c>
    </row>
    <row r="15">
      <c r="A15" s="5" t="inlineStr">
        <is>
          <t>合計</t>
        </is>
      </c>
      <c r="C15" s="13">
        <f>SUM(C5:C14)</f>
        <v/>
      </c>
    </row>
    <row r="17">
      <c r="A17" s="8" t="inlineStr">
        <is>
          <t>② MTI比率（オーソリ/アドバイス）</t>
        </is>
      </c>
      <c r="B17" s="9" t="n"/>
      <c r="C17" s="9" t="n"/>
    </row>
    <row r="18">
      <c r="A18" s="10" t="inlineStr">
        <is>
          <t>MTI</t>
        </is>
      </c>
      <c r="B18" s="10" t="inlineStr">
        <is>
          <t>区分</t>
        </is>
      </c>
      <c r="C18" s="10" t="inlineStr">
        <is>
          <t>比率(編集可)</t>
        </is>
      </c>
    </row>
    <row r="19">
      <c r="A19" s="11" t="inlineStr">
        <is>
          <t>オーソリ</t>
        </is>
      </c>
      <c r="B19" s="11" t="inlineStr">
        <is>
          <t>0100/0110</t>
        </is>
      </c>
      <c r="C19" s="12" t="n">
        <v>0.676901</v>
      </c>
    </row>
    <row r="20">
      <c r="A20" s="11" t="inlineStr">
        <is>
          <t>アドバイス</t>
        </is>
      </c>
      <c r="B20" s="11" t="inlineStr">
        <is>
          <t>0120/0130</t>
        </is>
      </c>
      <c r="C20" s="12" t="n">
        <v>0.200511</v>
      </c>
    </row>
    <row r="21">
      <c r="A21" s="5" t="inlineStr">
        <is>
          <t>合計</t>
        </is>
      </c>
      <c r="C21" s="13">
        <f>SUM(C19:C20)</f>
        <v/>
      </c>
    </row>
    <row r="23">
      <c r="A23" s="8" t="inlineStr">
        <is>
          <t>③ 仕向方向比率（被仕向/仕向）　※既定は暫定値・要調整</t>
        </is>
      </c>
      <c r="B23" s="9" t="n"/>
      <c r="C23" s="9" t="n"/>
    </row>
    <row r="24">
      <c r="A24" s="10" t="inlineStr">
        <is>
          <t>方向</t>
        </is>
      </c>
      <c r="B24" s="10" t="inlineStr">
        <is>
          <t>説明</t>
        </is>
      </c>
      <c r="C24" s="10" t="inlineStr">
        <is>
          <t>比率(編集可)</t>
        </is>
      </c>
    </row>
    <row r="25">
      <c r="A25" s="11" t="inlineStr">
        <is>
          <t>被仕向</t>
        </is>
      </c>
      <c r="B25" s="11" t="inlineStr">
        <is>
          <t>JCBへの着信(イシュア側)</t>
        </is>
      </c>
      <c r="C25" s="12" t="n">
        <v>0.8</v>
      </c>
    </row>
    <row r="26">
      <c r="A26" s="11" t="inlineStr">
        <is>
          <t>仕向</t>
        </is>
      </c>
      <c r="B26" s="11" t="inlineStr">
        <is>
          <t>JCBからの発信(アクワイアラ側)</t>
        </is>
      </c>
      <c r="C26" s="12" t="n">
        <v>0.2</v>
      </c>
    </row>
    <row r="27">
      <c r="A27" s="5" t="inlineStr">
        <is>
          <t>合計</t>
        </is>
      </c>
      <c r="C27" s="13">
        <f>SUM(C25:C26)</f>
        <v/>
      </c>
    </row>
    <row r="29">
      <c r="A29" s="8" t="inlineStr">
        <is>
          <t>④ IC/MS比率</t>
        </is>
      </c>
      <c r="B29" s="9" t="n"/>
      <c r="C29" s="9" t="n"/>
    </row>
    <row r="30">
      <c r="A30" s="10" t="inlineStr">
        <is>
          <t>カード区分</t>
        </is>
      </c>
      <c r="B30" s="10" t="inlineStr">
        <is>
          <t>説明</t>
        </is>
      </c>
      <c r="C30" s="10" t="inlineStr">
        <is>
          <t>比率(編集可)</t>
        </is>
      </c>
    </row>
    <row r="31">
      <c r="A31" s="11" t="inlineStr">
        <is>
          <t>IC</t>
        </is>
      </c>
      <c r="B31" s="11" t="inlineStr">
        <is>
          <t>ICオーソリ+ICアドバイス</t>
        </is>
      </c>
      <c r="C31" s="12" t="n">
        <v>0.877412</v>
      </c>
    </row>
    <row r="32">
      <c r="A32" s="11" t="inlineStr">
        <is>
          <t>MS</t>
        </is>
      </c>
      <c r="B32" s="11" t="inlineStr">
        <is>
          <t>磁気</t>
        </is>
      </c>
      <c r="C32" s="12" t="n">
        <v>0.122588</v>
      </c>
    </row>
    <row r="33">
      <c r="A33" s="5" t="inlineStr">
        <is>
          <t>合計</t>
        </is>
      </c>
      <c r="C33" s="13">
        <f>SUM(C31:C32)</f>
        <v/>
      </c>
    </row>
  </sheetData>
  <mergeCells count="4">
    <mergeCell ref="A17:C17"/>
    <mergeCell ref="A23:C23"/>
    <mergeCell ref="A3:C3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10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</cols>
  <sheetData>
    <row r="1">
      <c r="A1" s="10" t="inlineStr">
        <is>
          <t>NO</t>
        </is>
      </c>
      <c r="B1" s="10" t="inlineStr">
        <is>
          <t>NW</t>
        </is>
      </c>
      <c r="C1" s="10" t="inlineStr">
        <is>
          <t>MTI</t>
        </is>
      </c>
      <c r="D1" s="10" t="inlineStr">
        <is>
          <t>仕向方向</t>
        </is>
      </c>
      <c r="E1" s="10" t="inlineStr">
        <is>
          <t>IC/MS</t>
        </is>
      </c>
      <c r="F1" s="10" t="inlineStr">
        <is>
          <t>NW比率</t>
        </is>
      </c>
      <c r="G1" s="10" t="inlineStr">
        <is>
          <t>MTI比率</t>
        </is>
      </c>
      <c r="H1" s="10" t="inlineStr">
        <is>
          <t>方向比率</t>
        </is>
      </c>
      <c r="I1" s="10" t="inlineStr">
        <is>
          <t>IC/MS比率</t>
        </is>
      </c>
      <c r="J1" s="10" t="inlineStr">
        <is>
          <t>合成比率</t>
        </is>
      </c>
      <c r="K1" s="10" t="inlineStr">
        <is>
          <t>TPS</t>
        </is>
      </c>
      <c r="L1" s="10" t="inlineStr">
        <is>
          <t>TPS(小数1桁)</t>
        </is>
      </c>
    </row>
    <row r="2">
      <c r="A2" s="11" t="n">
        <v>1</v>
      </c>
      <c r="B2" s="11" t="inlineStr">
        <is>
          <t>VisaNet</t>
        </is>
      </c>
      <c r="C2" s="11" t="inlineStr">
        <is>
          <t>オーソリ</t>
        </is>
      </c>
      <c r="D2" s="11" t="inlineStr">
        <is>
          <t>被仕向</t>
        </is>
      </c>
      <c r="E2" s="11" t="inlineStr">
        <is>
          <t>IC</t>
        </is>
      </c>
      <c r="F2" s="14">
        <f>'比率入力'!$C$5/'比率入力'!$C$15</f>
        <v/>
      </c>
      <c r="G2" s="14">
        <f>'比率入力'!$C$19/'比率入力'!$C$21</f>
        <v/>
      </c>
      <c r="H2" s="14">
        <f>'比率入力'!$C$25/'比率入力'!$C$27</f>
        <v/>
      </c>
      <c r="I2" s="14">
        <f>'比率入力'!$C$31/'比率入力'!$C$33</f>
        <v/>
      </c>
      <c r="J2" s="15">
        <f>F2*G2*H2*I2</f>
        <v/>
      </c>
      <c r="K2" s="16">
        <f>'比率入力'!$B$1*J2</f>
        <v/>
      </c>
      <c r="L2" s="17">
        <f>ROUND(K2,1)</f>
        <v/>
      </c>
    </row>
    <row r="3">
      <c r="A3" s="11" t="n">
        <v>2</v>
      </c>
      <c r="B3" s="11" t="inlineStr">
        <is>
          <t>VisaNet</t>
        </is>
      </c>
      <c r="C3" s="11" t="inlineStr">
        <is>
          <t>オーソリ</t>
        </is>
      </c>
      <c r="D3" s="11" t="inlineStr">
        <is>
          <t>被仕向</t>
        </is>
      </c>
      <c r="E3" s="11" t="inlineStr">
        <is>
          <t>MS</t>
        </is>
      </c>
      <c r="F3" s="14">
        <f>'比率入力'!$C$5/'比率入力'!$C$15</f>
        <v/>
      </c>
      <c r="G3" s="14">
        <f>'比率入力'!$C$19/'比率入力'!$C$21</f>
        <v/>
      </c>
      <c r="H3" s="14">
        <f>'比率入力'!$C$25/'比率入力'!$C$27</f>
        <v/>
      </c>
      <c r="I3" s="14">
        <f>'比率入力'!$C$32/'比率入力'!$C$33</f>
        <v/>
      </c>
      <c r="J3" s="15">
        <f>F3*G3*H3*I3</f>
        <v/>
      </c>
      <c r="K3" s="16">
        <f>'比率入力'!$B$1*J3</f>
        <v/>
      </c>
      <c r="L3" s="17">
        <f>ROUND(K3,1)</f>
        <v/>
      </c>
    </row>
    <row r="4">
      <c r="A4" s="11" t="n">
        <v>3</v>
      </c>
      <c r="B4" s="11" t="inlineStr">
        <is>
          <t>VisaNet</t>
        </is>
      </c>
      <c r="C4" s="11" t="inlineStr">
        <is>
          <t>オーソリ</t>
        </is>
      </c>
      <c r="D4" s="11" t="inlineStr">
        <is>
          <t>仕向</t>
        </is>
      </c>
      <c r="E4" s="11" t="inlineStr">
        <is>
          <t>IC</t>
        </is>
      </c>
      <c r="F4" s="14">
        <f>'比率入力'!$C$5/'比率入力'!$C$15</f>
        <v/>
      </c>
      <c r="G4" s="14">
        <f>'比率入力'!$C$19/'比率入力'!$C$21</f>
        <v/>
      </c>
      <c r="H4" s="14">
        <f>'比率入力'!$C$26/'比率入力'!$C$27</f>
        <v/>
      </c>
      <c r="I4" s="14">
        <f>'比率入力'!$C$31/'比率入力'!$C$33</f>
        <v/>
      </c>
      <c r="J4" s="15">
        <f>F4*G4*H4*I4</f>
        <v/>
      </c>
      <c r="K4" s="16">
        <f>'比率入力'!$B$1*J4</f>
        <v/>
      </c>
      <c r="L4" s="17">
        <f>ROUND(K4,1)</f>
        <v/>
      </c>
    </row>
    <row r="5">
      <c r="A5" s="11" t="n">
        <v>4</v>
      </c>
      <c r="B5" s="11" t="inlineStr">
        <is>
          <t>VisaNet</t>
        </is>
      </c>
      <c r="C5" s="11" t="inlineStr">
        <is>
          <t>オーソリ</t>
        </is>
      </c>
      <c r="D5" s="11" t="inlineStr">
        <is>
          <t>仕向</t>
        </is>
      </c>
      <c r="E5" s="11" t="inlineStr">
        <is>
          <t>MS</t>
        </is>
      </c>
      <c r="F5" s="14">
        <f>'比率入力'!$C$5/'比率入力'!$C$15</f>
        <v/>
      </c>
      <c r="G5" s="14">
        <f>'比率入力'!$C$19/'比率入力'!$C$21</f>
        <v/>
      </c>
      <c r="H5" s="14">
        <f>'比率入力'!$C$26/'比率入力'!$C$27</f>
        <v/>
      </c>
      <c r="I5" s="14">
        <f>'比率入力'!$C$32/'比率入力'!$C$33</f>
        <v/>
      </c>
      <c r="J5" s="15">
        <f>F5*G5*H5*I5</f>
        <v/>
      </c>
      <c r="K5" s="16">
        <f>'比率入力'!$B$1*J5</f>
        <v/>
      </c>
      <c r="L5" s="17">
        <f>ROUND(K5,1)</f>
        <v/>
      </c>
    </row>
    <row r="6">
      <c r="A6" s="11" t="n">
        <v>5</v>
      </c>
      <c r="B6" s="11" t="inlineStr">
        <is>
          <t>VisaNet</t>
        </is>
      </c>
      <c r="C6" s="11" t="inlineStr">
        <is>
          <t>アドバイス</t>
        </is>
      </c>
      <c r="D6" s="11" t="inlineStr">
        <is>
          <t>被仕向</t>
        </is>
      </c>
      <c r="E6" s="11" t="inlineStr">
        <is>
          <t>IC</t>
        </is>
      </c>
      <c r="F6" s="14">
        <f>'比率入力'!$C$5/'比率入力'!$C$15</f>
        <v/>
      </c>
      <c r="G6" s="14">
        <f>'比率入力'!$C$20/'比率入力'!$C$21</f>
        <v/>
      </c>
      <c r="H6" s="14">
        <f>'比率入力'!$C$25/'比率入力'!$C$27</f>
        <v/>
      </c>
      <c r="I6" s="14">
        <f>'比率入力'!$C$31/'比率入力'!$C$33</f>
        <v/>
      </c>
      <c r="J6" s="15">
        <f>F6*G6*H6*I6</f>
        <v/>
      </c>
      <c r="K6" s="16">
        <f>'比率入力'!$B$1*J6</f>
        <v/>
      </c>
      <c r="L6" s="17">
        <f>ROUND(K6,1)</f>
        <v/>
      </c>
    </row>
    <row r="7">
      <c r="A7" s="11" t="n">
        <v>6</v>
      </c>
      <c r="B7" s="11" t="inlineStr">
        <is>
          <t>VisaNet</t>
        </is>
      </c>
      <c r="C7" s="11" t="inlineStr">
        <is>
          <t>アドバイス</t>
        </is>
      </c>
      <c r="D7" s="11" t="inlineStr">
        <is>
          <t>被仕向</t>
        </is>
      </c>
      <c r="E7" s="11" t="inlineStr">
        <is>
          <t>MS</t>
        </is>
      </c>
      <c r="F7" s="14">
        <f>'比率入力'!$C$5/'比率入力'!$C$15</f>
        <v/>
      </c>
      <c r="G7" s="14">
        <f>'比率入力'!$C$20/'比率入力'!$C$21</f>
        <v/>
      </c>
      <c r="H7" s="14">
        <f>'比率入力'!$C$25/'比率入力'!$C$27</f>
        <v/>
      </c>
      <c r="I7" s="14">
        <f>'比率入力'!$C$32/'比率入力'!$C$33</f>
        <v/>
      </c>
      <c r="J7" s="15">
        <f>F7*G7*H7*I7</f>
        <v/>
      </c>
      <c r="K7" s="16">
        <f>'比率入力'!$B$1*J7</f>
        <v/>
      </c>
      <c r="L7" s="17">
        <f>ROUND(K7,1)</f>
        <v/>
      </c>
    </row>
    <row r="8">
      <c r="A8" s="11" t="n">
        <v>7</v>
      </c>
      <c r="B8" s="11" t="inlineStr">
        <is>
          <t>VisaNet</t>
        </is>
      </c>
      <c r="C8" s="11" t="inlineStr">
        <is>
          <t>アドバイス</t>
        </is>
      </c>
      <c r="D8" s="11" t="inlineStr">
        <is>
          <t>仕向</t>
        </is>
      </c>
      <c r="E8" s="11" t="inlineStr">
        <is>
          <t>IC</t>
        </is>
      </c>
      <c r="F8" s="14">
        <f>'比率入力'!$C$5/'比率入力'!$C$15</f>
        <v/>
      </c>
      <c r="G8" s="14">
        <f>'比率入力'!$C$20/'比率入力'!$C$21</f>
        <v/>
      </c>
      <c r="H8" s="14">
        <f>'比率入力'!$C$26/'比率入力'!$C$27</f>
        <v/>
      </c>
      <c r="I8" s="14">
        <f>'比率入力'!$C$31/'比率入力'!$C$33</f>
        <v/>
      </c>
      <c r="J8" s="15">
        <f>F8*G8*H8*I8</f>
        <v/>
      </c>
      <c r="K8" s="16">
        <f>'比率入力'!$B$1*J8</f>
        <v/>
      </c>
      <c r="L8" s="17">
        <f>ROUND(K8,1)</f>
        <v/>
      </c>
    </row>
    <row r="9">
      <c r="A9" s="11" t="n">
        <v>8</v>
      </c>
      <c r="B9" s="11" t="inlineStr">
        <is>
          <t>VisaNet</t>
        </is>
      </c>
      <c r="C9" s="11" t="inlineStr">
        <is>
          <t>アドバイス</t>
        </is>
      </c>
      <c r="D9" s="11" t="inlineStr">
        <is>
          <t>仕向</t>
        </is>
      </c>
      <c r="E9" s="11" t="inlineStr">
        <is>
          <t>MS</t>
        </is>
      </c>
      <c r="F9" s="14">
        <f>'比率入力'!$C$5/'比率入力'!$C$15</f>
        <v/>
      </c>
      <c r="G9" s="14">
        <f>'比率入力'!$C$20/'比率入力'!$C$21</f>
        <v/>
      </c>
      <c r="H9" s="14">
        <f>'比率入力'!$C$26/'比率入力'!$C$27</f>
        <v/>
      </c>
      <c r="I9" s="14">
        <f>'比率入力'!$C$32/'比率入力'!$C$33</f>
        <v/>
      </c>
      <c r="J9" s="15">
        <f>F9*G9*H9*I9</f>
        <v/>
      </c>
      <c r="K9" s="16">
        <f>'比率入力'!$B$1*J9</f>
        <v/>
      </c>
      <c r="L9" s="17">
        <f>ROUND(K9,1)</f>
        <v/>
      </c>
    </row>
    <row r="10">
      <c r="A10" s="11" t="n">
        <v>9</v>
      </c>
      <c r="B10" s="11" t="inlineStr">
        <is>
          <t>J-Link</t>
        </is>
      </c>
      <c r="C10" s="11" t="inlineStr">
        <is>
          <t>オーソリ</t>
        </is>
      </c>
      <c r="D10" s="11" t="inlineStr">
        <is>
          <t>被仕向</t>
        </is>
      </c>
      <c r="E10" s="11" t="inlineStr">
        <is>
          <t>IC</t>
        </is>
      </c>
      <c r="F10" s="14">
        <f>'比率入力'!$C$6/'比率入力'!$C$15</f>
        <v/>
      </c>
      <c r="G10" s="14">
        <f>'比率入力'!$C$19/'比率入力'!$C$21</f>
        <v/>
      </c>
      <c r="H10" s="14">
        <f>'比率入力'!$C$25/'比率入力'!$C$27</f>
        <v/>
      </c>
      <c r="I10" s="14">
        <f>'比率入力'!$C$31/'比率入力'!$C$33</f>
        <v/>
      </c>
      <c r="J10" s="15">
        <f>F10*G10*H10*I10</f>
        <v/>
      </c>
      <c r="K10" s="16">
        <f>'比率入力'!$B$1*J10</f>
        <v/>
      </c>
      <c r="L10" s="17">
        <f>ROUND(K10,1)</f>
        <v/>
      </c>
    </row>
    <row r="11">
      <c r="A11" s="11" t="n">
        <v>10</v>
      </c>
      <c r="B11" s="11" t="inlineStr">
        <is>
          <t>J-Link</t>
        </is>
      </c>
      <c r="C11" s="11" t="inlineStr">
        <is>
          <t>オーソリ</t>
        </is>
      </c>
      <c r="D11" s="11" t="inlineStr">
        <is>
          <t>被仕向</t>
        </is>
      </c>
      <c r="E11" s="11" t="inlineStr">
        <is>
          <t>MS</t>
        </is>
      </c>
      <c r="F11" s="14">
        <f>'比率入力'!$C$6/'比率入力'!$C$15</f>
        <v/>
      </c>
      <c r="G11" s="14">
        <f>'比率入力'!$C$19/'比率入力'!$C$21</f>
        <v/>
      </c>
      <c r="H11" s="14">
        <f>'比率入力'!$C$25/'比率入力'!$C$27</f>
        <v/>
      </c>
      <c r="I11" s="14">
        <f>'比率入力'!$C$32/'比率入力'!$C$33</f>
        <v/>
      </c>
      <c r="J11" s="15">
        <f>F11*G11*H11*I11</f>
        <v/>
      </c>
      <c r="K11" s="16">
        <f>'比率入力'!$B$1*J11</f>
        <v/>
      </c>
      <c r="L11" s="17">
        <f>ROUND(K11,1)</f>
        <v/>
      </c>
    </row>
    <row r="12">
      <c r="A12" s="11" t="n">
        <v>11</v>
      </c>
      <c r="B12" s="11" t="inlineStr">
        <is>
          <t>J-Link</t>
        </is>
      </c>
      <c r="C12" s="11" t="inlineStr">
        <is>
          <t>オーソリ</t>
        </is>
      </c>
      <c r="D12" s="11" t="inlineStr">
        <is>
          <t>仕向</t>
        </is>
      </c>
      <c r="E12" s="11" t="inlineStr">
        <is>
          <t>IC</t>
        </is>
      </c>
      <c r="F12" s="14">
        <f>'比率入力'!$C$6/'比率入力'!$C$15</f>
        <v/>
      </c>
      <c r="G12" s="14">
        <f>'比率入力'!$C$19/'比率入力'!$C$21</f>
        <v/>
      </c>
      <c r="H12" s="14">
        <f>'比率入力'!$C$26/'比率入力'!$C$27</f>
        <v/>
      </c>
      <c r="I12" s="14">
        <f>'比率入力'!$C$31/'比率入力'!$C$33</f>
        <v/>
      </c>
      <c r="J12" s="15">
        <f>F12*G12*H12*I12</f>
        <v/>
      </c>
      <c r="K12" s="16">
        <f>'比率入力'!$B$1*J12</f>
        <v/>
      </c>
      <c r="L12" s="17">
        <f>ROUND(K12,1)</f>
        <v/>
      </c>
    </row>
    <row r="13">
      <c r="A13" s="11" t="n">
        <v>12</v>
      </c>
      <c r="B13" s="11" t="inlineStr">
        <is>
          <t>J-Link</t>
        </is>
      </c>
      <c r="C13" s="11" t="inlineStr">
        <is>
          <t>オーソリ</t>
        </is>
      </c>
      <c r="D13" s="11" t="inlineStr">
        <is>
          <t>仕向</t>
        </is>
      </c>
      <c r="E13" s="11" t="inlineStr">
        <is>
          <t>MS</t>
        </is>
      </c>
      <c r="F13" s="14">
        <f>'比率入力'!$C$6/'比率入力'!$C$15</f>
        <v/>
      </c>
      <c r="G13" s="14">
        <f>'比率入力'!$C$19/'比率入力'!$C$21</f>
        <v/>
      </c>
      <c r="H13" s="14">
        <f>'比率入力'!$C$26/'比率入力'!$C$27</f>
        <v/>
      </c>
      <c r="I13" s="14">
        <f>'比率入力'!$C$32/'比率入力'!$C$33</f>
        <v/>
      </c>
      <c r="J13" s="15">
        <f>F13*G13*H13*I13</f>
        <v/>
      </c>
      <c r="K13" s="16">
        <f>'比率入力'!$B$1*J13</f>
        <v/>
      </c>
      <c r="L13" s="17">
        <f>ROUND(K13,1)</f>
        <v/>
      </c>
    </row>
    <row r="14">
      <c r="A14" s="11" t="n">
        <v>13</v>
      </c>
      <c r="B14" s="11" t="inlineStr">
        <is>
          <t>J-Link</t>
        </is>
      </c>
      <c r="C14" s="11" t="inlineStr">
        <is>
          <t>アドバイス</t>
        </is>
      </c>
      <c r="D14" s="11" t="inlineStr">
        <is>
          <t>被仕向</t>
        </is>
      </c>
      <c r="E14" s="11" t="inlineStr">
        <is>
          <t>IC</t>
        </is>
      </c>
      <c r="F14" s="14">
        <f>'比率入力'!$C$6/'比率入力'!$C$15</f>
        <v/>
      </c>
      <c r="G14" s="14">
        <f>'比率入力'!$C$20/'比率入力'!$C$21</f>
        <v/>
      </c>
      <c r="H14" s="14">
        <f>'比率入力'!$C$25/'比率入力'!$C$27</f>
        <v/>
      </c>
      <c r="I14" s="14">
        <f>'比率入力'!$C$31/'比率入力'!$C$33</f>
        <v/>
      </c>
      <c r="J14" s="15">
        <f>F14*G14*H14*I14</f>
        <v/>
      </c>
      <c r="K14" s="16">
        <f>'比率入力'!$B$1*J14</f>
        <v/>
      </c>
      <c r="L14" s="17">
        <f>ROUND(K14,1)</f>
        <v/>
      </c>
    </row>
    <row r="15">
      <c r="A15" s="11" t="n">
        <v>14</v>
      </c>
      <c r="B15" s="11" t="inlineStr">
        <is>
          <t>J-Link</t>
        </is>
      </c>
      <c r="C15" s="11" t="inlineStr">
        <is>
          <t>アドバイス</t>
        </is>
      </c>
      <c r="D15" s="11" t="inlineStr">
        <is>
          <t>被仕向</t>
        </is>
      </c>
      <c r="E15" s="11" t="inlineStr">
        <is>
          <t>MS</t>
        </is>
      </c>
      <c r="F15" s="14">
        <f>'比率入力'!$C$6/'比率入力'!$C$15</f>
        <v/>
      </c>
      <c r="G15" s="14">
        <f>'比率入力'!$C$20/'比率入力'!$C$21</f>
        <v/>
      </c>
      <c r="H15" s="14">
        <f>'比率入力'!$C$25/'比率入力'!$C$27</f>
        <v/>
      </c>
      <c r="I15" s="14">
        <f>'比率入力'!$C$32/'比率入力'!$C$33</f>
        <v/>
      </c>
      <c r="J15" s="15">
        <f>F15*G15*H15*I15</f>
        <v/>
      </c>
      <c r="K15" s="16">
        <f>'比率入力'!$B$1*J15</f>
        <v/>
      </c>
      <c r="L15" s="17">
        <f>ROUND(K15,1)</f>
        <v/>
      </c>
    </row>
    <row r="16">
      <c r="A16" s="11" t="n">
        <v>15</v>
      </c>
      <c r="B16" s="11" t="inlineStr">
        <is>
          <t>J-Link</t>
        </is>
      </c>
      <c r="C16" s="11" t="inlineStr">
        <is>
          <t>アドバイス</t>
        </is>
      </c>
      <c r="D16" s="11" t="inlineStr">
        <is>
          <t>仕向</t>
        </is>
      </c>
      <c r="E16" s="11" t="inlineStr">
        <is>
          <t>IC</t>
        </is>
      </c>
      <c r="F16" s="14">
        <f>'比率入力'!$C$6/'比率入力'!$C$15</f>
        <v/>
      </c>
      <c r="G16" s="14">
        <f>'比率入力'!$C$20/'比率入力'!$C$21</f>
        <v/>
      </c>
      <c r="H16" s="14">
        <f>'比率入力'!$C$26/'比率入力'!$C$27</f>
        <v/>
      </c>
      <c r="I16" s="14">
        <f>'比率入力'!$C$31/'比率入力'!$C$33</f>
        <v/>
      </c>
      <c r="J16" s="15">
        <f>F16*G16*H16*I16</f>
        <v/>
      </c>
      <c r="K16" s="16">
        <f>'比率入力'!$B$1*J16</f>
        <v/>
      </c>
      <c r="L16" s="17">
        <f>ROUND(K16,1)</f>
        <v/>
      </c>
    </row>
    <row r="17">
      <c r="A17" s="11" t="n">
        <v>16</v>
      </c>
      <c r="B17" s="11" t="inlineStr">
        <is>
          <t>J-Link</t>
        </is>
      </c>
      <c r="C17" s="11" t="inlineStr">
        <is>
          <t>アドバイス</t>
        </is>
      </c>
      <c r="D17" s="11" t="inlineStr">
        <is>
          <t>仕向</t>
        </is>
      </c>
      <c r="E17" s="11" t="inlineStr">
        <is>
          <t>MS</t>
        </is>
      </c>
      <c r="F17" s="14">
        <f>'比率入力'!$C$6/'比率入力'!$C$15</f>
        <v/>
      </c>
      <c r="G17" s="14">
        <f>'比率入力'!$C$20/'比率入力'!$C$21</f>
        <v/>
      </c>
      <c r="H17" s="14">
        <f>'比率入力'!$C$26/'比率入力'!$C$27</f>
        <v/>
      </c>
      <c r="I17" s="14">
        <f>'比率入力'!$C$32/'比率入力'!$C$33</f>
        <v/>
      </c>
      <c r="J17" s="15">
        <f>F17*G17*H17*I17</f>
        <v/>
      </c>
      <c r="K17" s="16">
        <f>'比率入力'!$B$1*J17</f>
        <v/>
      </c>
      <c r="L17" s="17">
        <f>ROUND(K17,1)</f>
        <v/>
      </c>
    </row>
    <row r="18">
      <c r="A18" s="11" t="n">
        <v>17</v>
      </c>
      <c r="B18" s="11" t="inlineStr">
        <is>
          <t>FEP</t>
        </is>
      </c>
      <c r="C18" s="11" t="inlineStr">
        <is>
          <t>オーソリ</t>
        </is>
      </c>
      <c r="D18" s="11" t="inlineStr">
        <is>
          <t>被仕向</t>
        </is>
      </c>
      <c r="E18" s="11" t="inlineStr">
        <is>
          <t>IC</t>
        </is>
      </c>
      <c r="F18" s="14">
        <f>'比率入力'!$C$7/'比率入力'!$C$15</f>
        <v/>
      </c>
      <c r="G18" s="14">
        <f>'比率入力'!$C$19/'比率入力'!$C$21</f>
        <v/>
      </c>
      <c r="H18" s="14">
        <f>'比率入力'!$C$25/'比率入力'!$C$27</f>
        <v/>
      </c>
      <c r="I18" s="14">
        <f>'比率入力'!$C$31/'比率入力'!$C$33</f>
        <v/>
      </c>
      <c r="J18" s="15">
        <f>F18*G18*H18*I18</f>
        <v/>
      </c>
      <c r="K18" s="16">
        <f>'比率入力'!$B$1*J18</f>
        <v/>
      </c>
      <c r="L18" s="17">
        <f>ROUND(K18,1)</f>
        <v/>
      </c>
    </row>
    <row r="19">
      <c r="A19" s="11" t="n">
        <v>18</v>
      </c>
      <c r="B19" s="11" t="inlineStr">
        <is>
          <t>FEP</t>
        </is>
      </c>
      <c r="C19" s="11" t="inlineStr">
        <is>
          <t>オーソリ</t>
        </is>
      </c>
      <c r="D19" s="11" t="inlineStr">
        <is>
          <t>被仕向</t>
        </is>
      </c>
      <c r="E19" s="11" t="inlineStr">
        <is>
          <t>MS</t>
        </is>
      </c>
      <c r="F19" s="14">
        <f>'比率入力'!$C$7/'比率入力'!$C$15</f>
        <v/>
      </c>
      <c r="G19" s="14">
        <f>'比率入力'!$C$19/'比率入力'!$C$21</f>
        <v/>
      </c>
      <c r="H19" s="14">
        <f>'比率入力'!$C$25/'比率入力'!$C$27</f>
        <v/>
      </c>
      <c r="I19" s="14">
        <f>'比率入力'!$C$32/'比率入力'!$C$33</f>
        <v/>
      </c>
      <c r="J19" s="15">
        <f>F19*G19*H19*I19</f>
        <v/>
      </c>
      <c r="K19" s="16">
        <f>'比率入力'!$B$1*J19</f>
        <v/>
      </c>
      <c r="L19" s="17">
        <f>ROUND(K19,1)</f>
        <v/>
      </c>
    </row>
    <row r="20">
      <c r="A20" s="11" t="n">
        <v>19</v>
      </c>
      <c r="B20" s="11" t="inlineStr">
        <is>
          <t>FEP</t>
        </is>
      </c>
      <c r="C20" s="11" t="inlineStr">
        <is>
          <t>オーソリ</t>
        </is>
      </c>
      <c r="D20" s="11" t="inlineStr">
        <is>
          <t>仕向</t>
        </is>
      </c>
      <c r="E20" s="11" t="inlineStr">
        <is>
          <t>IC</t>
        </is>
      </c>
      <c r="F20" s="14">
        <f>'比率入力'!$C$7/'比率入力'!$C$15</f>
        <v/>
      </c>
      <c r="G20" s="14">
        <f>'比率入力'!$C$19/'比率入力'!$C$21</f>
        <v/>
      </c>
      <c r="H20" s="14">
        <f>'比率入力'!$C$26/'比率入力'!$C$27</f>
        <v/>
      </c>
      <c r="I20" s="14">
        <f>'比率入力'!$C$31/'比率入力'!$C$33</f>
        <v/>
      </c>
      <c r="J20" s="15">
        <f>F20*G20*H20*I20</f>
        <v/>
      </c>
      <c r="K20" s="16">
        <f>'比率入力'!$B$1*J20</f>
        <v/>
      </c>
      <c r="L20" s="17">
        <f>ROUND(K20,1)</f>
        <v/>
      </c>
    </row>
    <row r="21">
      <c r="A21" s="11" t="n">
        <v>20</v>
      </c>
      <c r="B21" s="11" t="inlineStr">
        <is>
          <t>FEP</t>
        </is>
      </c>
      <c r="C21" s="11" t="inlineStr">
        <is>
          <t>オーソリ</t>
        </is>
      </c>
      <c r="D21" s="11" t="inlineStr">
        <is>
          <t>仕向</t>
        </is>
      </c>
      <c r="E21" s="11" t="inlineStr">
        <is>
          <t>MS</t>
        </is>
      </c>
      <c r="F21" s="14">
        <f>'比率入力'!$C$7/'比率入力'!$C$15</f>
        <v/>
      </c>
      <c r="G21" s="14">
        <f>'比率入力'!$C$19/'比率入力'!$C$21</f>
        <v/>
      </c>
      <c r="H21" s="14">
        <f>'比率入力'!$C$26/'比率入力'!$C$27</f>
        <v/>
      </c>
      <c r="I21" s="14">
        <f>'比率入力'!$C$32/'比率入力'!$C$33</f>
        <v/>
      </c>
      <c r="J21" s="15">
        <f>F21*G21*H21*I21</f>
        <v/>
      </c>
      <c r="K21" s="16">
        <f>'比率入力'!$B$1*J21</f>
        <v/>
      </c>
      <c r="L21" s="17">
        <f>ROUND(K21,1)</f>
        <v/>
      </c>
    </row>
    <row r="22">
      <c r="A22" s="11" t="n">
        <v>21</v>
      </c>
      <c r="B22" s="11" t="inlineStr">
        <is>
          <t>FEP</t>
        </is>
      </c>
      <c r="C22" s="11" t="inlineStr">
        <is>
          <t>アドバイス</t>
        </is>
      </c>
      <c r="D22" s="11" t="inlineStr">
        <is>
          <t>被仕向</t>
        </is>
      </c>
      <c r="E22" s="11" t="inlineStr">
        <is>
          <t>IC</t>
        </is>
      </c>
      <c r="F22" s="14">
        <f>'比率入力'!$C$7/'比率入力'!$C$15</f>
        <v/>
      </c>
      <c r="G22" s="14">
        <f>'比率入力'!$C$20/'比率入力'!$C$21</f>
        <v/>
      </c>
      <c r="H22" s="14">
        <f>'比率入力'!$C$25/'比率入力'!$C$27</f>
        <v/>
      </c>
      <c r="I22" s="14">
        <f>'比率入力'!$C$31/'比率入力'!$C$33</f>
        <v/>
      </c>
      <c r="J22" s="15">
        <f>F22*G22*H22*I22</f>
        <v/>
      </c>
      <c r="K22" s="16">
        <f>'比率入力'!$B$1*J22</f>
        <v/>
      </c>
      <c r="L22" s="17">
        <f>ROUND(K22,1)</f>
        <v/>
      </c>
    </row>
    <row r="23">
      <c r="A23" s="11" t="n">
        <v>22</v>
      </c>
      <c r="B23" s="11" t="inlineStr">
        <is>
          <t>FEP</t>
        </is>
      </c>
      <c r="C23" s="11" t="inlineStr">
        <is>
          <t>アドバイス</t>
        </is>
      </c>
      <c r="D23" s="11" t="inlineStr">
        <is>
          <t>被仕向</t>
        </is>
      </c>
      <c r="E23" s="11" t="inlineStr">
        <is>
          <t>MS</t>
        </is>
      </c>
      <c r="F23" s="14">
        <f>'比率入力'!$C$7/'比率入力'!$C$15</f>
        <v/>
      </c>
      <c r="G23" s="14">
        <f>'比率入力'!$C$20/'比率入力'!$C$21</f>
        <v/>
      </c>
      <c r="H23" s="14">
        <f>'比率入力'!$C$25/'比率入力'!$C$27</f>
        <v/>
      </c>
      <c r="I23" s="14">
        <f>'比率入力'!$C$32/'比率入力'!$C$33</f>
        <v/>
      </c>
      <c r="J23" s="15">
        <f>F23*G23*H23*I23</f>
        <v/>
      </c>
      <c r="K23" s="16">
        <f>'比率入力'!$B$1*J23</f>
        <v/>
      </c>
      <c r="L23" s="17">
        <f>ROUND(K23,1)</f>
        <v/>
      </c>
    </row>
    <row r="24">
      <c r="A24" s="11" t="n">
        <v>23</v>
      </c>
      <c r="B24" s="11" t="inlineStr">
        <is>
          <t>FEP</t>
        </is>
      </c>
      <c r="C24" s="11" t="inlineStr">
        <is>
          <t>アドバイス</t>
        </is>
      </c>
      <c r="D24" s="11" t="inlineStr">
        <is>
          <t>仕向</t>
        </is>
      </c>
      <c r="E24" s="11" t="inlineStr">
        <is>
          <t>IC</t>
        </is>
      </c>
      <c r="F24" s="14">
        <f>'比率入力'!$C$7/'比率入力'!$C$15</f>
        <v/>
      </c>
      <c r="G24" s="14">
        <f>'比率入力'!$C$20/'比率入力'!$C$21</f>
        <v/>
      </c>
      <c r="H24" s="14">
        <f>'比率入力'!$C$26/'比率入力'!$C$27</f>
        <v/>
      </c>
      <c r="I24" s="14">
        <f>'比率入力'!$C$31/'比率入力'!$C$33</f>
        <v/>
      </c>
      <c r="J24" s="15">
        <f>F24*G24*H24*I24</f>
        <v/>
      </c>
      <c r="K24" s="16">
        <f>'比率入力'!$B$1*J24</f>
        <v/>
      </c>
      <c r="L24" s="17">
        <f>ROUND(K24,1)</f>
        <v/>
      </c>
    </row>
    <row r="25">
      <c r="A25" s="11" t="n">
        <v>24</v>
      </c>
      <c r="B25" s="11" t="inlineStr">
        <is>
          <t>FEP</t>
        </is>
      </c>
      <c r="C25" s="11" t="inlineStr">
        <is>
          <t>アドバイス</t>
        </is>
      </c>
      <c r="D25" s="11" t="inlineStr">
        <is>
          <t>仕向</t>
        </is>
      </c>
      <c r="E25" s="11" t="inlineStr">
        <is>
          <t>MS</t>
        </is>
      </c>
      <c r="F25" s="14">
        <f>'比率入力'!$C$7/'比率入力'!$C$15</f>
        <v/>
      </c>
      <c r="G25" s="14">
        <f>'比率入力'!$C$20/'比率入力'!$C$21</f>
        <v/>
      </c>
      <c r="H25" s="14">
        <f>'比率入力'!$C$26/'比率入力'!$C$27</f>
        <v/>
      </c>
      <c r="I25" s="14">
        <f>'比率入力'!$C$32/'比率入力'!$C$33</f>
        <v/>
      </c>
      <c r="J25" s="15">
        <f>F25*G25*H25*I25</f>
        <v/>
      </c>
      <c r="K25" s="16">
        <f>'比率入力'!$B$1*J25</f>
        <v/>
      </c>
      <c r="L25" s="17">
        <f>ROUND(K25,1)</f>
        <v/>
      </c>
    </row>
    <row r="26">
      <c r="A26" s="11" t="n">
        <v>25</v>
      </c>
      <c r="B26" s="11" t="inlineStr">
        <is>
          <t>CARDNET(1a)</t>
        </is>
      </c>
      <c r="C26" s="11" t="inlineStr">
        <is>
          <t>オーソリ</t>
        </is>
      </c>
      <c r="D26" s="11" t="inlineStr">
        <is>
          <t>被仕向</t>
        </is>
      </c>
      <c r="E26" s="11" t="inlineStr">
        <is>
          <t>IC</t>
        </is>
      </c>
      <c r="F26" s="14">
        <f>'比率入力'!$C$8/'比率入力'!$C$15</f>
        <v/>
      </c>
      <c r="G26" s="14">
        <f>'比率入力'!$C$19/'比率入力'!$C$21</f>
        <v/>
      </c>
      <c r="H26" s="14">
        <f>'比率入力'!$C$25/'比率入力'!$C$27</f>
        <v/>
      </c>
      <c r="I26" s="14">
        <f>'比率入力'!$C$31/'比率入力'!$C$33</f>
        <v/>
      </c>
      <c r="J26" s="15">
        <f>F26*G26*H26*I26</f>
        <v/>
      </c>
      <c r="K26" s="16">
        <f>'比率入力'!$B$1*J26</f>
        <v/>
      </c>
      <c r="L26" s="17">
        <f>ROUND(K26,1)</f>
        <v/>
      </c>
    </row>
    <row r="27">
      <c r="A27" s="11" t="n">
        <v>26</v>
      </c>
      <c r="B27" s="11" t="inlineStr">
        <is>
          <t>CARDNET(1a)</t>
        </is>
      </c>
      <c r="C27" s="11" t="inlineStr">
        <is>
          <t>オーソリ</t>
        </is>
      </c>
      <c r="D27" s="11" t="inlineStr">
        <is>
          <t>被仕向</t>
        </is>
      </c>
      <c r="E27" s="11" t="inlineStr">
        <is>
          <t>MS</t>
        </is>
      </c>
      <c r="F27" s="14">
        <f>'比率入力'!$C$8/'比率入力'!$C$15</f>
        <v/>
      </c>
      <c r="G27" s="14">
        <f>'比率入力'!$C$19/'比率入力'!$C$21</f>
        <v/>
      </c>
      <c r="H27" s="14">
        <f>'比率入力'!$C$25/'比率入力'!$C$27</f>
        <v/>
      </c>
      <c r="I27" s="14">
        <f>'比率入力'!$C$32/'比率入力'!$C$33</f>
        <v/>
      </c>
      <c r="J27" s="15">
        <f>F27*G27*H27*I27</f>
        <v/>
      </c>
      <c r="K27" s="16">
        <f>'比率入力'!$B$1*J27</f>
        <v/>
      </c>
      <c r="L27" s="17">
        <f>ROUND(K27,1)</f>
        <v/>
      </c>
    </row>
    <row r="28">
      <c r="A28" s="11" t="n">
        <v>27</v>
      </c>
      <c r="B28" s="11" t="inlineStr">
        <is>
          <t>CARDNET(1a)</t>
        </is>
      </c>
      <c r="C28" s="11" t="inlineStr">
        <is>
          <t>オーソリ</t>
        </is>
      </c>
      <c r="D28" s="11" t="inlineStr">
        <is>
          <t>仕向</t>
        </is>
      </c>
      <c r="E28" s="11" t="inlineStr">
        <is>
          <t>IC</t>
        </is>
      </c>
      <c r="F28" s="14">
        <f>'比率入力'!$C$8/'比率入力'!$C$15</f>
        <v/>
      </c>
      <c r="G28" s="14">
        <f>'比率入力'!$C$19/'比率入力'!$C$21</f>
        <v/>
      </c>
      <c r="H28" s="14">
        <f>'比率入力'!$C$26/'比率入力'!$C$27</f>
        <v/>
      </c>
      <c r="I28" s="14">
        <f>'比率入力'!$C$31/'比率入力'!$C$33</f>
        <v/>
      </c>
      <c r="J28" s="15">
        <f>F28*G28*H28*I28</f>
        <v/>
      </c>
      <c r="K28" s="16">
        <f>'比率入力'!$B$1*J28</f>
        <v/>
      </c>
      <c r="L28" s="17">
        <f>ROUND(K28,1)</f>
        <v/>
      </c>
    </row>
    <row r="29">
      <c r="A29" s="11" t="n">
        <v>28</v>
      </c>
      <c r="B29" s="11" t="inlineStr">
        <is>
          <t>CARDNET(1a)</t>
        </is>
      </c>
      <c r="C29" s="11" t="inlineStr">
        <is>
          <t>オーソリ</t>
        </is>
      </c>
      <c r="D29" s="11" t="inlineStr">
        <is>
          <t>仕向</t>
        </is>
      </c>
      <c r="E29" s="11" t="inlineStr">
        <is>
          <t>MS</t>
        </is>
      </c>
      <c r="F29" s="14">
        <f>'比率入力'!$C$8/'比率入力'!$C$15</f>
        <v/>
      </c>
      <c r="G29" s="14">
        <f>'比率入力'!$C$19/'比率入力'!$C$21</f>
        <v/>
      </c>
      <c r="H29" s="14">
        <f>'比率入力'!$C$26/'比率入力'!$C$27</f>
        <v/>
      </c>
      <c r="I29" s="14">
        <f>'比率入力'!$C$32/'比率入力'!$C$33</f>
        <v/>
      </c>
      <c r="J29" s="15">
        <f>F29*G29*H29*I29</f>
        <v/>
      </c>
      <c r="K29" s="16">
        <f>'比率入力'!$B$1*J29</f>
        <v/>
      </c>
      <c r="L29" s="17">
        <f>ROUND(K29,1)</f>
        <v/>
      </c>
    </row>
    <row r="30">
      <c r="A30" s="11" t="n">
        <v>29</v>
      </c>
      <c r="B30" s="11" t="inlineStr">
        <is>
          <t>CARDNET(1a)</t>
        </is>
      </c>
      <c r="C30" s="11" t="inlineStr">
        <is>
          <t>アドバイス</t>
        </is>
      </c>
      <c r="D30" s="11" t="inlineStr">
        <is>
          <t>被仕向</t>
        </is>
      </c>
      <c r="E30" s="11" t="inlineStr">
        <is>
          <t>IC</t>
        </is>
      </c>
      <c r="F30" s="14">
        <f>'比率入力'!$C$8/'比率入力'!$C$15</f>
        <v/>
      </c>
      <c r="G30" s="14">
        <f>'比率入力'!$C$20/'比率入力'!$C$21</f>
        <v/>
      </c>
      <c r="H30" s="14">
        <f>'比率入力'!$C$25/'比率入力'!$C$27</f>
        <v/>
      </c>
      <c r="I30" s="14">
        <f>'比率入力'!$C$31/'比率入力'!$C$33</f>
        <v/>
      </c>
      <c r="J30" s="15">
        <f>F30*G30*H30*I30</f>
        <v/>
      </c>
      <c r="K30" s="16">
        <f>'比率入力'!$B$1*J30</f>
        <v/>
      </c>
      <c r="L30" s="17">
        <f>ROUND(K30,1)</f>
        <v/>
      </c>
    </row>
    <row r="31">
      <c r="A31" s="11" t="n">
        <v>30</v>
      </c>
      <c r="B31" s="11" t="inlineStr">
        <is>
          <t>CARDNET(1a)</t>
        </is>
      </c>
      <c r="C31" s="11" t="inlineStr">
        <is>
          <t>アドバイス</t>
        </is>
      </c>
      <c r="D31" s="11" t="inlineStr">
        <is>
          <t>被仕向</t>
        </is>
      </c>
      <c r="E31" s="11" t="inlineStr">
        <is>
          <t>MS</t>
        </is>
      </c>
      <c r="F31" s="14">
        <f>'比率入力'!$C$8/'比率入力'!$C$15</f>
        <v/>
      </c>
      <c r="G31" s="14">
        <f>'比率入力'!$C$20/'比率入力'!$C$21</f>
        <v/>
      </c>
      <c r="H31" s="14">
        <f>'比率入力'!$C$25/'比率入力'!$C$27</f>
        <v/>
      </c>
      <c r="I31" s="14">
        <f>'比率入力'!$C$32/'比率入力'!$C$33</f>
        <v/>
      </c>
      <c r="J31" s="15">
        <f>F31*G31*H31*I31</f>
        <v/>
      </c>
      <c r="K31" s="16">
        <f>'比率入力'!$B$1*J31</f>
        <v/>
      </c>
      <c r="L31" s="17">
        <f>ROUND(K31,1)</f>
        <v/>
      </c>
    </row>
    <row r="32">
      <c r="A32" s="11" t="n">
        <v>31</v>
      </c>
      <c r="B32" s="11" t="inlineStr">
        <is>
          <t>CARDNET(1a)</t>
        </is>
      </c>
      <c r="C32" s="11" t="inlineStr">
        <is>
          <t>アドバイス</t>
        </is>
      </c>
      <c r="D32" s="11" t="inlineStr">
        <is>
          <t>仕向</t>
        </is>
      </c>
      <c r="E32" s="11" t="inlineStr">
        <is>
          <t>IC</t>
        </is>
      </c>
      <c r="F32" s="14">
        <f>'比率入力'!$C$8/'比率入力'!$C$15</f>
        <v/>
      </c>
      <c r="G32" s="14">
        <f>'比率入力'!$C$20/'比率入力'!$C$21</f>
        <v/>
      </c>
      <c r="H32" s="14">
        <f>'比率入力'!$C$26/'比率入力'!$C$27</f>
        <v/>
      </c>
      <c r="I32" s="14">
        <f>'比率入力'!$C$31/'比率入力'!$C$33</f>
        <v/>
      </c>
      <c r="J32" s="15">
        <f>F32*G32*H32*I32</f>
        <v/>
      </c>
      <c r="K32" s="16">
        <f>'比率入力'!$B$1*J32</f>
        <v/>
      </c>
      <c r="L32" s="17">
        <f>ROUND(K32,1)</f>
        <v/>
      </c>
    </row>
    <row r="33">
      <c r="A33" s="11" t="n">
        <v>32</v>
      </c>
      <c r="B33" s="11" t="inlineStr">
        <is>
          <t>CARDNET(1a)</t>
        </is>
      </c>
      <c r="C33" s="11" t="inlineStr">
        <is>
          <t>アドバイス</t>
        </is>
      </c>
      <c r="D33" s="11" t="inlineStr">
        <is>
          <t>仕向</t>
        </is>
      </c>
      <c r="E33" s="11" t="inlineStr">
        <is>
          <t>MS</t>
        </is>
      </c>
      <c r="F33" s="14">
        <f>'比率入力'!$C$8/'比率入力'!$C$15</f>
        <v/>
      </c>
      <c r="G33" s="14">
        <f>'比率入力'!$C$20/'比率入力'!$C$21</f>
        <v/>
      </c>
      <c r="H33" s="14">
        <f>'比率入力'!$C$26/'比率入力'!$C$27</f>
        <v/>
      </c>
      <c r="I33" s="14">
        <f>'比率入力'!$C$32/'比率入力'!$C$33</f>
        <v/>
      </c>
      <c r="J33" s="15">
        <f>F33*G33*H33*I33</f>
        <v/>
      </c>
      <c r="K33" s="16">
        <f>'比率入力'!$B$1*J33</f>
        <v/>
      </c>
      <c r="L33" s="17">
        <f>ROUND(K33,1)</f>
        <v/>
      </c>
    </row>
    <row r="34">
      <c r="A34" s="11" t="n">
        <v>33</v>
      </c>
      <c r="B34" s="11" t="inlineStr">
        <is>
          <t>DFS</t>
        </is>
      </c>
      <c r="C34" s="11" t="inlineStr">
        <is>
          <t>オーソリ</t>
        </is>
      </c>
      <c r="D34" s="11" t="inlineStr">
        <is>
          <t>被仕向</t>
        </is>
      </c>
      <c r="E34" s="11" t="inlineStr">
        <is>
          <t>IC</t>
        </is>
      </c>
      <c r="F34" s="14">
        <f>'比率入力'!$C$9/'比率入力'!$C$15</f>
        <v/>
      </c>
      <c r="G34" s="14">
        <f>'比率入力'!$C$19/'比率入力'!$C$21</f>
        <v/>
      </c>
      <c r="H34" s="14">
        <f>'比率入力'!$C$25/'比率入力'!$C$27</f>
        <v/>
      </c>
      <c r="I34" s="14">
        <f>'比率入力'!$C$31/'比率入力'!$C$33</f>
        <v/>
      </c>
      <c r="J34" s="15">
        <f>F34*G34*H34*I34</f>
        <v/>
      </c>
      <c r="K34" s="16">
        <f>'比率入力'!$B$1*J34</f>
        <v/>
      </c>
      <c r="L34" s="17">
        <f>ROUND(K34,1)</f>
        <v/>
      </c>
    </row>
    <row r="35">
      <c r="A35" s="11" t="n">
        <v>34</v>
      </c>
      <c r="B35" s="11" t="inlineStr">
        <is>
          <t>DFS</t>
        </is>
      </c>
      <c r="C35" s="11" t="inlineStr">
        <is>
          <t>オーソリ</t>
        </is>
      </c>
      <c r="D35" s="11" t="inlineStr">
        <is>
          <t>被仕向</t>
        </is>
      </c>
      <c r="E35" s="11" t="inlineStr">
        <is>
          <t>MS</t>
        </is>
      </c>
      <c r="F35" s="14">
        <f>'比率入力'!$C$9/'比率入力'!$C$15</f>
        <v/>
      </c>
      <c r="G35" s="14">
        <f>'比率入力'!$C$19/'比率入力'!$C$21</f>
        <v/>
      </c>
      <c r="H35" s="14">
        <f>'比率入力'!$C$25/'比率入力'!$C$27</f>
        <v/>
      </c>
      <c r="I35" s="14">
        <f>'比率入力'!$C$32/'比率入力'!$C$33</f>
        <v/>
      </c>
      <c r="J35" s="15">
        <f>F35*G35*H35*I35</f>
        <v/>
      </c>
      <c r="K35" s="16">
        <f>'比率入力'!$B$1*J35</f>
        <v/>
      </c>
      <c r="L35" s="17">
        <f>ROUND(K35,1)</f>
        <v/>
      </c>
    </row>
    <row r="36">
      <c r="A36" s="11" t="n">
        <v>35</v>
      </c>
      <c r="B36" s="11" t="inlineStr">
        <is>
          <t>DFS</t>
        </is>
      </c>
      <c r="C36" s="11" t="inlineStr">
        <is>
          <t>オーソリ</t>
        </is>
      </c>
      <c r="D36" s="11" t="inlineStr">
        <is>
          <t>仕向</t>
        </is>
      </c>
      <c r="E36" s="11" t="inlineStr">
        <is>
          <t>IC</t>
        </is>
      </c>
      <c r="F36" s="14">
        <f>'比率入力'!$C$9/'比率入力'!$C$15</f>
        <v/>
      </c>
      <c r="G36" s="14">
        <f>'比率入力'!$C$19/'比率入力'!$C$21</f>
        <v/>
      </c>
      <c r="H36" s="14">
        <f>'比率入力'!$C$26/'比率入力'!$C$27</f>
        <v/>
      </c>
      <c r="I36" s="14">
        <f>'比率入力'!$C$31/'比率入力'!$C$33</f>
        <v/>
      </c>
      <c r="J36" s="15">
        <f>F36*G36*H36*I36</f>
        <v/>
      </c>
      <c r="K36" s="16">
        <f>'比率入力'!$B$1*J36</f>
        <v/>
      </c>
      <c r="L36" s="17">
        <f>ROUND(K36,1)</f>
        <v/>
      </c>
    </row>
    <row r="37">
      <c r="A37" s="11" t="n">
        <v>36</v>
      </c>
      <c r="B37" s="11" t="inlineStr">
        <is>
          <t>DFS</t>
        </is>
      </c>
      <c r="C37" s="11" t="inlineStr">
        <is>
          <t>オーソリ</t>
        </is>
      </c>
      <c r="D37" s="11" t="inlineStr">
        <is>
          <t>仕向</t>
        </is>
      </c>
      <c r="E37" s="11" t="inlineStr">
        <is>
          <t>MS</t>
        </is>
      </c>
      <c r="F37" s="14">
        <f>'比率入力'!$C$9/'比率入力'!$C$15</f>
        <v/>
      </c>
      <c r="G37" s="14">
        <f>'比率入力'!$C$19/'比率入力'!$C$21</f>
        <v/>
      </c>
      <c r="H37" s="14">
        <f>'比率入力'!$C$26/'比率入力'!$C$27</f>
        <v/>
      </c>
      <c r="I37" s="14">
        <f>'比率入力'!$C$32/'比率入力'!$C$33</f>
        <v/>
      </c>
      <c r="J37" s="15">
        <f>F37*G37*H37*I37</f>
        <v/>
      </c>
      <c r="K37" s="16">
        <f>'比率入力'!$B$1*J37</f>
        <v/>
      </c>
      <c r="L37" s="17">
        <f>ROUND(K37,1)</f>
        <v/>
      </c>
    </row>
    <row r="38">
      <c r="A38" s="11" t="n">
        <v>37</v>
      </c>
      <c r="B38" s="11" t="inlineStr">
        <is>
          <t>DFS</t>
        </is>
      </c>
      <c r="C38" s="11" t="inlineStr">
        <is>
          <t>アドバイス</t>
        </is>
      </c>
      <c r="D38" s="11" t="inlineStr">
        <is>
          <t>被仕向</t>
        </is>
      </c>
      <c r="E38" s="11" t="inlineStr">
        <is>
          <t>IC</t>
        </is>
      </c>
      <c r="F38" s="14">
        <f>'比率入力'!$C$9/'比率入力'!$C$15</f>
        <v/>
      </c>
      <c r="G38" s="14">
        <f>'比率入力'!$C$20/'比率入力'!$C$21</f>
        <v/>
      </c>
      <c r="H38" s="14">
        <f>'比率入力'!$C$25/'比率入力'!$C$27</f>
        <v/>
      </c>
      <c r="I38" s="14">
        <f>'比率入力'!$C$31/'比率入力'!$C$33</f>
        <v/>
      </c>
      <c r="J38" s="15">
        <f>F38*G38*H38*I38</f>
        <v/>
      </c>
      <c r="K38" s="16">
        <f>'比率入力'!$B$1*J38</f>
        <v/>
      </c>
      <c r="L38" s="17">
        <f>ROUND(K38,1)</f>
        <v/>
      </c>
    </row>
    <row r="39">
      <c r="A39" s="11" t="n">
        <v>38</v>
      </c>
      <c r="B39" s="11" t="inlineStr">
        <is>
          <t>DFS</t>
        </is>
      </c>
      <c r="C39" s="11" t="inlineStr">
        <is>
          <t>アドバイス</t>
        </is>
      </c>
      <c r="D39" s="11" t="inlineStr">
        <is>
          <t>被仕向</t>
        </is>
      </c>
      <c r="E39" s="11" t="inlineStr">
        <is>
          <t>MS</t>
        </is>
      </c>
      <c r="F39" s="14">
        <f>'比率入力'!$C$9/'比率入力'!$C$15</f>
        <v/>
      </c>
      <c r="G39" s="14">
        <f>'比率入力'!$C$20/'比率入力'!$C$21</f>
        <v/>
      </c>
      <c r="H39" s="14">
        <f>'比率入力'!$C$25/'比率入力'!$C$27</f>
        <v/>
      </c>
      <c r="I39" s="14">
        <f>'比率入力'!$C$32/'比率入力'!$C$33</f>
        <v/>
      </c>
      <c r="J39" s="15">
        <f>F39*G39*H39*I39</f>
        <v/>
      </c>
      <c r="K39" s="16">
        <f>'比率入力'!$B$1*J39</f>
        <v/>
      </c>
      <c r="L39" s="17">
        <f>ROUND(K39,1)</f>
        <v/>
      </c>
    </row>
    <row r="40">
      <c r="A40" s="11" t="n">
        <v>39</v>
      </c>
      <c r="B40" s="11" t="inlineStr">
        <is>
          <t>DFS</t>
        </is>
      </c>
      <c r="C40" s="11" t="inlineStr">
        <is>
          <t>アドバイス</t>
        </is>
      </c>
      <c r="D40" s="11" t="inlineStr">
        <is>
          <t>仕向</t>
        </is>
      </c>
      <c r="E40" s="11" t="inlineStr">
        <is>
          <t>IC</t>
        </is>
      </c>
      <c r="F40" s="14">
        <f>'比率入力'!$C$9/'比率入力'!$C$15</f>
        <v/>
      </c>
      <c r="G40" s="14">
        <f>'比率入力'!$C$20/'比率入力'!$C$21</f>
        <v/>
      </c>
      <c r="H40" s="14">
        <f>'比率入力'!$C$26/'比率入力'!$C$27</f>
        <v/>
      </c>
      <c r="I40" s="14">
        <f>'比率入力'!$C$31/'比率入力'!$C$33</f>
        <v/>
      </c>
      <c r="J40" s="15">
        <f>F40*G40*H40*I40</f>
        <v/>
      </c>
      <c r="K40" s="16">
        <f>'比率入力'!$B$1*J40</f>
        <v/>
      </c>
      <c r="L40" s="17">
        <f>ROUND(K40,1)</f>
        <v/>
      </c>
    </row>
    <row r="41">
      <c r="A41" s="11" t="n">
        <v>40</v>
      </c>
      <c r="B41" s="11" t="inlineStr">
        <is>
          <t>DFS</t>
        </is>
      </c>
      <c r="C41" s="11" t="inlineStr">
        <is>
          <t>アドバイス</t>
        </is>
      </c>
      <c r="D41" s="11" t="inlineStr">
        <is>
          <t>仕向</t>
        </is>
      </c>
      <c r="E41" s="11" t="inlineStr">
        <is>
          <t>MS</t>
        </is>
      </c>
      <c r="F41" s="14">
        <f>'比率入力'!$C$9/'比率入力'!$C$15</f>
        <v/>
      </c>
      <c r="G41" s="14">
        <f>'比率入力'!$C$20/'比率入力'!$C$21</f>
        <v/>
      </c>
      <c r="H41" s="14">
        <f>'比率入力'!$C$26/'比率入力'!$C$27</f>
        <v/>
      </c>
      <c r="I41" s="14">
        <f>'比率入力'!$C$32/'比率入力'!$C$33</f>
        <v/>
      </c>
      <c r="J41" s="15">
        <f>F41*G41*H41*I41</f>
        <v/>
      </c>
      <c r="K41" s="16">
        <f>'比率入力'!$B$1*J41</f>
        <v/>
      </c>
      <c r="L41" s="17">
        <f>ROUND(K41,1)</f>
        <v/>
      </c>
    </row>
    <row r="42">
      <c r="A42" s="11" t="n">
        <v>41</v>
      </c>
      <c r="B42" s="11" t="inlineStr">
        <is>
          <t>BankNet</t>
        </is>
      </c>
      <c r="C42" s="11" t="inlineStr">
        <is>
          <t>オーソリ</t>
        </is>
      </c>
      <c r="D42" s="11" t="inlineStr">
        <is>
          <t>被仕向</t>
        </is>
      </c>
      <c r="E42" s="11" t="inlineStr">
        <is>
          <t>IC</t>
        </is>
      </c>
      <c r="F42" s="14">
        <f>'比率入力'!$C$10/'比率入力'!$C$15</f>
        <v/>
      </c>
      <c r="G42" s="14">
        <f>'比率入力'!$C$19/'比率入力'!$C$21</f>
        <v/>
      </c>
      <c r="H42" s="14">
        <f>'比率入力'!$C$25/'比率入力'!$C$27</f>
        <v/>
      </c>
      <c r="I42" s="14">
        <f>'比率入力'!$C$31/'比率入力'!$C$33</f>
        <v/>
      </c>
      <c r="J42" s="15">
        <f>F42*G42*H42*I42</f>
        <v/>
      </c>
      <c r="K42" s="16">
        <f>'比率入力'!$B$1*J42</f>
        <v/>
      </c>
      <c r="L42" s="17">
        <f>ROUND(K42,1)</f>
        <v/>
      </c>
    </row>
    <row r="43">
      <c r="A43" s="11" t="n">
        <v>42</v>
      </c>
      <c r="B43" s="11" t="inlineStr">
        <is>
          <t>BankNet</t>
        </is>
      </c>
      <c r="C43" s="11" t="inlineStr">
        <is>
          <t>オーソリ</t>
        </is>
      </c>
      <c r="D43" s="11" t="inlineStr">
        <is>
          <t>被仕向</t>
        </is>
      </c>
      <c r="E43" s="11" t="inlineStr">
        <is>
          <t>MS</t>
        </is>
      </c>
      <c r="F43" s="14">
        <f>'比率入力'!$C$10/'比率入力'!$C$15</f>
        <v/>
      </c>
      <c r="G43" s="14">
        <f>'比率入力'!$C$19/'比率入力'!$C$21</f>
        <v/>
      </c>
      <c r="H43" s="14">
        <f>'比率入力'!$C$25/'比率入力'!$C$27</f>
        <v/>
      </c>
      <c r="I43" s="14">
        <f>'比率入力'!$C$32/'比率入力'!$C$33</f>
        <v/>
      </c>
      <c r="J43" s="15">
        <f>F43*G43*H43*I43</f>
        <v/>
      </c>
      <c r="K43" s="16">
        <f>'比率入力'!$B$1*J43</f>
        <v/>
      </c>
      <c r="L43" s="17">
        <f>ROUND(K43,1)</f>
        <v/>
      </c>
    </row>
    <row r="44">
      <c r="A44" s="11" t="n">
        <v>43</v>
      </c>
      <c r="B44" s="11" t="inlineStr">
        <is>
          <t>BankNet</t>
        </is>
      </c>
      <c r="C44" s="11" t="inlineStr">
        <is>
          <t>オーソリ</t>
        </is>
      </c>
      <c r="D44" s="11" t="inlineStr">
        <is>
          <t>仕向</t>
        </is>
      </c>
      <c r="E44" s="11" t="inlineStr">
        <is>
          <t>IC</t>
        </is>
      </c>
      <c r="F44" s="14">
        <f>'比率入力'!$C$10/'比率入力'!$C$15</f>
        <v/>
      </c>
      <c r="G44" s="14">
        <f>'比率入力'!$C$19/'比率入力'!$C$21</f>
        <v/>
      </c>
      <c r="H44" s="14">
        <f>'比率入力'!$C$26/'比率入力'!$C$27</f>
        <v/>
      </c>
      <c r="I44" s="14">
        <f>'比率入力'!$C$31/'比率入力'!$C$33</f>
        <v/>
      </c>
      <c r="J44" s="15">
        <f>F44*G44*H44*I44</f>
        <v/>
      </c>
      <c r="K44" s="16">
        <f>'比率入力'!$B$1*J44</f>
        <v/>
      </c>
      <c r="L44" s="17">
        <f>ROUND(K44,1)</f>
        <v/>
      </c>
    </row>
    <row r="45">
      <c r="A45" s="11" t="n">
        <v>44</v>
      </c>
      <c r="B45" s="11" t="inlineStr">
        <is>
          <t>BankNet</t>
        </is>
      </c>
      <c r="C45" s="11" t="inlineStr">
        <is>
          <t>オーソリ</t>
        </is>
      </c>
      <c r="D45" s="11" t="inlineStr">
        <is>
          <t>仕向</t>
        </is>
      </c>
      <c r="E45" s="11" t="inlineStr">
        <is>
          <t>MS</t>
        </is>
      </c>
      <c r="F45" s="14">
        <f>'比率入力'!$C$10/'比率入力'!$C$15</f>
        <v/>
      </c>
      <c r="G45" s="14">
        <f>'比率入力'!$C$19/'比率入力'!$C$21</f>
        <v/>
      </c>
      <c r="H45" s="14">
        <f>'比率入力'!$C$26/'比率入力'!$C$27</f>
        <v/>
      </c>
      <c r="I45" s="14">
        <f>'比率入力'!$C$32/'比率入力'!$C$33</f>
        <v/>
      </c>
      <c r="J45" s="15">
        <f>F45*G45*H45*I45</f>
        <v/>
      </c>
      <c r="K45" s="16">
        <f>'比率入力'!$B$1*J45</f>
        <v/>
      </c>
      <c r="L45" s="17">
        <f>ROUND(K45,1)</f>
        <v/>
      </c>
    </row>
    <row r="46">
      <c r="A46" s="11" t="n">
        <v>45</v>
      </c>
      <c r="B46" s="11" t="inlineStr">
        <is>
          <t>BankNet</t>
        </is>
      </c>
      <c r="C46" s="11" t="inlineStr">
        <is>
          <t>アドバイス</t>
        </is>
      </c>
      <c r="D46" s="11" t="inlineStr">
        <is>
          <t>被仕向</t>
        </is>
      </c>
      <c r="E46" s="11" t="inlineStr">
        <is>
          <t>IC</t>
        </is>
      </c>
      <c r="F46" s="14">
        <f>'比率入力'!$C$10/'比率入力'!$C$15</f>
        <v/>
      </c>
      <c r="G46" s="14">
        <f>'比率入力'!$C$20/'比率入力'!$C$21</f>
        <v/>
      </c>
      <c r="H46" s="14">
        <f>'比率入力'!$C$25/'比率入力'!$C$27</f>
        <v/>
      </c>
      <c r="I46" s="14">
        <f>'比率入力'!$C$31/'比率入力'!$C$33</f>
        <v/>
      </c>
      <c r="J46" s="15">
        <f>F46*G46*H46*I46</f>
        <v/>
      </c>
      <c r="K46" s="16">
        <f>'比率入力'!$B$1*J46</f>
        <v/>
      </c>
      <c r="L46" s="17">
        <f>ROUND(K46,1)</f>
        <v/>
      </c>
    </row>
    <row r="47">
      <c r="A47" s="11" t="n">
        <v>46</v>
      </c>
      <c r="B47" s="11" t="inlineStr">
        <is>
          <t>BankNet</t>
        </is>
      </c>
      <c r="C47" s="11" t="inlineStr">
        <is>
          <t>アドバイス</t>
        </is>
      </c>
      <c r="D47" s="11" t="inlineStr">
        <is>
          <t>被仕向</t>
        </is>
      </c>
      <c r="E47" s="11" t="inlineStr">
        <is>
          <t>MS</t>
        </is>
      </c>
      <c r="F47" s="14">
        <f>'比率入力'!$C$10/'比率入力'!$C$15</f>
        <v/>
      </c>
      <c r="G47" s="14">
        <f>'比率入力'!$C$20/'比率入力'!$C$21</f>
        <v/>
      </c>
      <c r="H47" s="14">
        <f>'比率入力'!$C$25/'比率入力'!$C$27</f>
        <v/>
      </c>
      <c r="I47" s="14">
        <f>'比率入力'!$C$32/'比率入力'!$C$33</f>
        <v/>
      </c>
      <c r="J47" s="15">
        <f>F47*G47*H47*I47</f>
        <v/>
      </c>
      <c r="K47" s="16">
        <f>'比率入力'!$B$1*J47</f>
        <v/>
      </c>
      <c r="L47" s="17">
        <f>ROUND(K47,1)</f>
        <v/>
      </c>
    </row>
    <row r="48">
      <c r="A48" s="11" t="n">
        <v>47</v>
      </c>
      <c r="B48" s="11" t="inlineStr">
        <is>
          <t>BankNet</t>
        </is>
      </c>
      <c r="C48" s="11" t="inlineStr">
        <is>
          <t>アドバイス</t>
        </is>
      </c>
      <c r="D48" s="11" t="inlineStr">
        <is>
          <t>仕向</t>
        </is>
      </c>
      <c r="E48" s="11" t="inlineStr">
        <is>
          <t>IC</t>
        </is>
      </c>
      <c r="F48" s="14">
        <f>'比率入力'!$C$10/'比率入力'!$C$15</f>
        <v/>
      </c>
      <c r="G48" s="14">
        <f>'比率入力'!$C$20/'比率入力'!$C$21</f>
        <v/>
      </c>
      <c r="H48" s="14">
        <f>'比率入力'!$C$26/'比率入力'!$C$27</f>
        <v/>
      </c>
      <c r="I48" s="14">
        <f>'比率入力'!$C$31/'比率入力'!$C$33</f>
        <v/>
      </c>
      <c r="J48" s="15">
        <f>F48*G48*H48*I48</f>
        <v/>
      </c>
      <c r="K48" s="16">
        <f>'比率入力'!$B$1*J48</f>
        <v/>
      </c>
      <c r="L48" s="17">
        <f>ROUND(K48,1)</f>
        <v/>
      </c>
    </row>
    <row r="49">
      <c r="A49" s="11" t="n">
        <v>48</v>
      </c>
      <c r="B49" s="11" t="inlineStr">
        <is>
          <t>BankNet</t>
        </is>
      </c>
      <c r="C49" s="11" t="inlineStr">
        <is>
          <t>アドバイス</t>
        </is>
      </c>
      <c r="D49" s="11" t="inlineStr">
        <is>
          <t>仕向</t>
        </is>
      </c>
      <c r="E49" s="11" t="inlineStr">
        <is>
          <t>MS</t>
        </is>
      </c>
      <c r="F49" s="14">
        <f>'比率入力'!$C$10/'比率入力'!$C$15</f>
        <v/>
      </c>
      <c r="G49" s="14">
        <f>'比率入力'!$C$20/'比率入力'!$C$21</f>
        <v/>
      </c>
      <c r="H49" s="14">
        <f>'比率入力'!$C$26/'比率入力'!$C$27</f>
        <v/>
      </c>
      <c r="I49" s="14">
        <f>'比率入力'!$C$32/'比率入力'!$C$33</f>
        <v/>
      </c>
      <c r="J49" s="15">
        <f>F49*G49*H49*I49</f>
        <v/>
      </c>
      <c r="K49" s="16">
        <f>'比率入力'!$B$1*J49</f>
        <v/>
      </c>
      <c r="L49" s="17">
        <f>ROUND(K49,1)</f>
        <v/>
      </c>
    </row>
    <row r="50">
      <c r="A50" s="11" t="n">
        <v>49</v>
      </c>
      <c r="B50" s="11" t="inlineStr">
        <is>
          <t>CARDNET(UP)</t>
        </is>
      </c>
      <c r="C50" s="11" t="inlineStr">
        <is>
          <t>オーソリ</t>
        </is>
      </c>
      <c r="D50" s="11" t="inlineStr">
        <is>
          <t>被仕向</t>
        </is>
      </c>
      <c r="E50" s="11" t="inlineStr">
        <is>
          <t>IC</t>
        </is>
      </c>
      <c r="F50" s="14">
        <f>'比率入力'!$C$11/'比率入力'!$C$15</f>
        <v/>
      </c>
      <c r="G50" s="14">
        <f>'比率入力'!$C$19/'比率入力'!$C$21</f>
        <v/>
      </c>
      <c r="H50" s="14">
        <f>'比率入力'!$C$25/'比率入力'!$C$27</f>
        <v/>
      </c>
      <c r="I50" s="14">
        <f>'比率入力'!$C$31/'比率入力'!$C$33</f>
        <v/>
      </c>
      <c r="J50" s="15">
        <f>F50*G50*H50*I50</f>
        <v/>
      </c>
      <c r="K50" s="16">
        <f>'比率入力'!$B$1*J50</f>
        <v/>
      </c>
      <c r="L50" s="17">
        <f>ROUND(K50,1)</f>
        <v/>
      </c>
    </row>
    <row r="51">
      <c r="A51" s="11" t="n">
        <v>50</v>
      </c>
      <c r="B51" s="11" t="inlineStr">
        <is>
          <t>CARDNET(UP)</t>
        </is>
      </c>
      <c r="C51" s="11" t="inlineStr">
        <is>
          <t>オーソリ</t>
        </is>
      </c>
      <c r="D51" s="11" t="inlineStr">
        <is>
          <t>被仕向</t>
        </is>
      </c>
      <c r="E51" s="11" t="inlineStr">
        <is>
          <t>MS</t>
        </is>
      </c>
      <c r="F51" s="14">
        <f>'比率入力'!$C$11/'比率入力'!$C$15</f>
        <v/>
      </c>
      <c r="G51" s="14">
        <f>'比率入力'!$C$19/'比率入力'!$C$21</f>
        <v/>
      </c>
      <c r="H51" s="14">
        <f>'比率入力'!$C$25/'比率入力'!$C$27</f>
        <v/>
      </c>
      <c r="I51" s="14">
        <f>'比率入力'!$C$32/'比率入力'!$C$33</f>
        <v/>
      </c>
      <c r="J51" s="15">
        <f>F51*G51*H51*I51</f>
        <v/>
      </c>
      <c r="K51" s="16">
        <f>'比率入力'!$B$1*J51</f>
        <v/>
      </c>
      <c r="L51" s="17">
        <f>ROUND(K51,1)</f>
        <v/>
      </c>
    </row>
    <row r="52">
      <c r="A52" s="11" t="n">
        <v>51</v>
      </c>
      <c r="B52" s="11" t="inlineStr">
        <is>
          <t>CARDNET(UP)</t>
        </is>
      </c>
      <c r="C52" s="11" t="inlineStr">
        <is>
          <t>オーソリ</t>
        </is>
      </c>
      <c r="D52" s="11" t="inlineStr">
        <is>
          <t>仕向</t>
        </is>
      </c>
      <c r="E52" s="11" t="inlineStr">
        <is>
          <t>IC</t>
        </is>
      </c>
      <c r="F52" s="14">
        <f>'比率入力'!$C$11/'比率入力'!$C$15</f>
        <v/>
      </c>
      <c r="G52" s="14">
        <f>'比率入力'!$C$19/'比率入力'!$C$21</f>
        <v/>
      </c>
      <c r="H52" s="14">
        <f>'比率入力'!$C$26/'比率入力'!$C$27</f>
        <v/>
      </c>
      <c r="I52" s="14">
        <f>'比率入力'!$C$31/'比率入力'!$C$33</f>
        <v/>
      </c>
      <c r="J52" s="15">
        <f>F52*G52*H52*I52</f>
        <v/>
      </c>
      <c r="K52" s="16">
        <f>'比率入力'!$B$1*J52</f>
        <v/>
      </c>
      <c r="L52" s="17">
        <f>ROUND(K52,1)</f>
        <v/>
      </c>
    </row>
    <row r="53">
      <c r="A53" s="11" t="n">
        <v>52</v>
      </c>
      <c r="B53" s="11" t="inlineStr">
        <is>
          <t>CARDNET(UP)</t>
        </is>
      </c>
      <c r="C53" s="11" t="inlineStr">
        <is>
          <t>オーソリ</t>
        </is>
      </c>
      <c r="D53" s="11" t="inlineStr">
        <is>
          <t>仕向</t>
        </is>
      </c>
      <c r="E53" s="11" t="inlineStr">
        <is>
          <t>MS</t>
        </is>
      </c>
      <c r="F53" s="14">
        <f>'比率入力'!$C$11/'比率入力'!$C$15</f>
        <v/>
      </c>
      <c r="G53" s="14">
        <f>'比率入力'!$C$19/'比率入力'!$C$21</f>
        <v/>
      </c>
      <c r="H53" s="14">
        <f>'比率入力'!$C$26/'比率入力'!$C$27</f>
        <v/>
      </c>
      <c r="I53" s="14">
        <f>'比率入力'!$C$32/'比率入力'!$C$33</f>
        <v/>
      </c>
      <c r="J53" s="15">
        <f>F53*G53*H53*I53</f>
        <v/>
      </c>
      <c r="K53" s="16">
        <f>'比率入力'!$B$1*J53</f>
        <v/>
      </c>
      <c r="L53" s="17">
        <f>ROUND(K53,1)</f>
        <v/>
      </c>
    </row>
    <row r="54">
      <c r="A54" s="11" t="n">
        <v>53</v>
      </c>
      <c r="B54" s="11" t="inlineStr">
        <is>
          <t>CARDNET(UP)</t>
        </is>
      </c>
      <c r="C54" s="11" t="inlineStr">
        <is>
          <t>アドバイス</t>
        </is>
      </c>
      <c r="D54" s="11" t="inlineStr">
        <is>
          <t>被仕向</t>
        </is>
      </c>
      <c r="E54" s="11" t="inlineStr">
        <is>
          <t>IC</t>
        </is>
      </c>
      <c r="F54" s="14">
        <f>'比率入力'!$C$11/'比率入力'!$C$15</f>
        <v/>
      </c>
      <c r="G54" s="14">
        <f>'比率入力'!$C$20/'比率入力'!$C$21</f>
        <v/>
      </c>
      <c r="H54" s="14">
        <f>'比率入力'!$C$25/'比率入力'!$C$27</f>
        <v/>
      </c>
      <c r="I54" s="14">
        <f>'比率入力'!$C$31/'比率入力'!$C$33</f>
        <v/>
      </c>
      <c r="J54" s="15">
        <f>F54*G54*H54*I54</f>
        <v/>
      </c>
      <c r="K54" s="16">
        <f>'比率入力'!$B$1*J54</f>
        <v/>
      </c>
      <c r="L54" s="17">
        <f>ROUND(K54,1)</f>
        <v/>
      </c>
    </row>
    <row r="55">
      <c r="A55" s="11" t="n">
        <v>54</v>
      </c>
      <c r="B55" s="11" t="inlineStr">
        <is>
          <t>CARDNET(UP)</t>
        </is>
      </c>
      <c r="C55" s="11" t="inlineStr">
        <is>
          <t>アドバイス</t>
        </is>
      </c>
      <c r="D55" s="11" t="inlineStr">
        <is>
          <t>被仕向</t>
        </is>
      </c>
      <c r="E55" s="11" t="inlineStr">
        <is>
          <t>MS</t>
        </is>
      </c>
      <c r="F55" s="14">
        <f>'比率入力'!$C$11/'比率入力'!$C$15</f>
        <v/>
      </c>
      <c r="G55" s="14">
        <f>'比率入力'!$C$20/'比率入力'!$C$21</f>
        <v/>
      </c>
      <c r="H55" s="14">
        <f>'比率入力'!$C$25/'比率入力'!$C$27</f>
        <v/>
      </c>
      <c r="I55" s="14">
        <f>'比率入力'!$C$32/'比率入力'!$C$33</f>
        <v/>
      </c>
      <c r="J55" s="15">
        <f>F55*G55*H55*I55</f>
        <v/>
      </c>
      <c r="K55" s="16">
        <f>'比率入力'!$B$1*J55</f>
        <v/>
      </c>
      <c r="L55" s="17">
        <f>ROUND(K55,1)</f>
        <v/>
      </c>
    </row>
    <row r="56">
      <c r="A56" s="11" t="n">
        <v>55</v>
      </c>
      <c r="B56" s="11" t="inlineStr">
        <is>
          <t>CARDNET(UP)</t>
        </is>
      </c>
      <c r="C56" s="11" t="inlineStr">
        <is>
          <t>アドバイス</t>
        </is>
      </c>
      <c r="D56" s="11" t="inlineStr">
        <is>
          <t>仕向</t>
        </is>
      </c>
      <c r="E56" s="11" t="inlineStr">
        <is>
          <t>IC</t>
        </is>
      </c>
      <c r="F56" s="14">
        <f>'比率入力'!$C$11/'比率入力'!$C$15</f>
        <v/>
      </c>
      <c r="G56" s="14">
        <f>'比率入力'!$C$20/'比率入力'!$C$21</f>
        <v/>
      </c>
      <c r="H56" s="14">
        <f>'比率入力'!$C$26/'比率入力'!$C$27</f>
        <v/>
      </c>
      <c r="I56" s="14">
        <f>'比率入力'!$C$31/'比率入力'!$C$33</f>
        <v/>
      </c>
      <c r="J56" s="15">
        <f>F56*G56*H56*I56</f>
        <v/>
      </c>
      <c r="K56" s="16">
        <f>'比率入力'!$B$1*J56</f>
        <v/>
      </c>
      <c r="L56" s="17">
        <f>ROUND(K56,1)</f>
        <v/>
      </c>
    </row>
    <row r="57">
      <c r="A57" s="11" t="n">
        <v>56</v>
      </c>
      <c r="B57" s="11" t="inlineStr">
        <is>
          <t>CARDNET(UP)</t>
        </is>
      </c>
      <c r="C57" s="11" t="inlineStr">
        <is>
          <t>アドバイス</t>
        </is>
      </c>
      <c r="D57" s="11" t="inlineStr">
        <is>
          <t>仕向</t>
        </is>
      </c>
      <c r="E57" s="11" t="inlineStr">
        <is>
          <t>MS</t>
        </is>
      </c>
      <c r="F57" s="14">
        <f>'比率入力'!$C$11/'比率入力'!$C$15</f>
        <v/>
      </c>
      <c r="G57" s="14">
        <f>'比率入力'!$C$20/'比率入力'!$C$21</f>
        <v/>
      </c>
      <c r="H57" s="14">
        <f>'比率入力'!$C$26/'比率入力'!$C$27</f>
        <v/>
      </c>
      <c r="I57" s="14">
        <f>'比率入力'!$C$32/'比率入力'!$C$33</f>
        <v/>
      </c>
      <c r="J57" s="15">
        <f>F57*G57*H57*I57</f>
        <v/>
      </c>
      <c r="K57" s="16">
        <f>'比率入力'!$B$1*J57</f>
        <v/>
      </c>
      <c r="L57" s="17">
        <f>ROUND(K57,1)</f>
        <v/>
      </c>
    </row>
    <row r="58">
      <c r="A58" s="11" t="n">
        <v>57</v>
      </c>
      <c r="B58" s="11" t="inlineStr">
        <is>
          <t>AEGN</t>
        </is>
      </c>
      <c r="C58" s="11" t="inlineStr">
        <is>
          <t>オーソリ</t>
        </is>
      </c>
      <c r="D58" s="11" t="inlineStr">
        <is>
          <t>被仕向</t>
        </is>
      </c>
      <c r="E58" s="11" t="inlineStr">
        <is>
          <t>IC</t>
        </is>
      </c>
      <c r="F58" s="14">
        <f>'比率入力'!$C$12/'比率入力'!$C$15</f>
        <v/>
      </c>
      <c r="G58" s="14">
        <f>'比率入力'!$C$19/'比率入力'!$C$21</f>
        <v/>
      </c>
      <c r="H58" s="14">
        <f>'比率入力'!$C$25/'比率入力'!$C$27</f>
        <v/>
      </c>
      <c r="I58" s="14">
        <f>'比率入力'!$C$31/'比率入力'!$C$33</f>
        <v/>
      </c>
      <c r="J58" s="15">
        <f>F58*G58*H58*I58</f>
        <v/>
      </c>
      <c r="K58" s="16">
        <f>'比率入力'!$B$1*J58</f>
        <v/>
      </c>
      <c r="L58" s="17">
        <f>ROUND(K58,1)</f>
        <v/>
      </c>
    </row>
    <row r="59">
      <c r="A59" s="11" t="n">
        <v>58</v>
      </c>
      <c r="B59" s="11" t="inlineStr">
        <is>
          <t>AEGN</t>
        </is>
      </c>
      <c r="C59" s="11" t="inlineStr">
        <is>
          <t>オーソリ</t>
        </is>
      </c>
      <c r="D59" s="11" t="inlineStr">
        <is>
          <t>被仕向</t>
        </is>
      </c>
      <c r="E59" s="11" t="inlineStr">
        <is>
          <t>MS</t>
        </is>
      </c>
      <c r="F59" s="14">
        <f>'比率入力'!$C$12/'比率入力'!$C$15</f>
        <v/>
      </c>
      <c r="G59" s="14">
        <f>'比率入力'!$C$19/'比率入力'!$C$21</f>
        <v/>
      </c>
      <c r="H59" s="14">
        <f>'比率入力'!$C$25/'比率入力'!$C$27</f>
        <v/>
      </c>
      <c r="I59" s="14">
        <f>'比率入力'!$C$32/'比率入力'!$C$33</f>
        <v/>
      </c>
      <c r="J59" s="15">
        <f>F59*G59*H59*I59</f>
        <v/>
      </c>
      <c r="K59" s="16">
        <f>'比率入力'!$B$1*J59</f>
        <v/>
      </c>
      <c r="L59" s="17">
        <f>ROUND(K59,1)</f>
        <v/>
      </c>
    </row>
    <row r="60">
      <c r="A60" s="11" t="n">
        <v>59</v>
      </c>
      <c r="B60" s="11" t="inlineStr">
        <is>
          <t>AEGN</t>
        </is>
      </c>
      <c r="C60" s="11" t="inlineStr">
        <is>
          <t>オーソリ</t>
        </is>
      </c>
      <c r="D60" s="11" t="inlineStr">
        <is>
          <t>仕向</t>
        </is>
      </c>
      <c r="E60" s="11" t="inlineStr">
        <is>
          <t>IC</t>
        </is>
      </c>
      <c r="F60" s="14">
        <f>'比率入力'!$C$12/'比率入力'!$C$15</f>
        <v/>
      </c>
      <c r="G60" s="14">
        <f>'比率入力'!$C$19/'比率入力'!$C$21</f>
        <v/>
      </c>
      <c r="H60" s="14">
        <f>'比率入力'!$C$26/'比率入力'!$C$27</f>
        <v/>
      </c>
      <c r="I60" s="14">
        <f>'比率入力'!$C$31/'比率入力'!$C$33</f>
        <v/>
      </c>
      <c r="J60" s="15">
        <f>F60*G60*H60*I60</f>
        <v/>
      </c>
      <c r="K60" s="16">
        <f>'比率入力'!$B$1*J60</f>
        <v/>
      </c>
      <c r="L60" s="17">
        <f>ROUND(K60,1)</f>
        <v/>
      </c>
    </row>
    <row r="61">
      <c r="A61" s="11" t="n">
        <v>60</v>
      </c>
      <c r="B61" s="11" t="inlineStr">
        <is>
          <t>AEGN</t>
        </is>
      </c>
      <c r="C61" s="11" t="inlineStr">
        <is>
          <t>オーソリ</t>
        </is>
      </c>
      <c r="D61" s="11" t="inlineStr">
        <is>
          <t>仕向</t>
        </is>
      </c>
      <c r="E61" s="11" t="inlineStr">
        <is>
          <t>MS</t>
        </is>
      </c>
      <c r="F61" s="14">
        <f>'比率入力'!$C$12/'比率入力'!$C$15</f>
        <v/>
      </c>
      <c r="G61" s="14">
        <f>'比率入力'!$C$19/'比率入力'!$C$21</f>
        <v/>
      </c>
      <c r="H61" s="14">
        <f>'比率入力'!$C$26/'比率入力'!$C$27</f>
        <v/>
      </c>
      <c r="I61" s="14">
        <f>'比率入力'!$C$32/'比率入力'!$C$33</f>
        <v/>
      </c>
      <c r="J61" s="15">
        <f>F61*G61*H61*I61</f>
        <v/>
      </c>
      <c r="K61" s="16">
        <f>'比率入力'!$B$1*J61</f>
        <v/>
      </c>
      <c r="L61" s="17">
        <f>ROUND(K61,1)</f>
        <v/>
      </c>
    </row>
    <row r="62">
      <c r="A62" s="11" t="n">
        <v>61</v>
      </c>
      <c r="B62" s="11" t="inlineStr">
        <is>
          <t>AEGN</t>
        </is>
      </c>
      <c r="C62" s="11" t="inlineStr">
        <is>
          <t>アドバイス</t>
        </is>
      </c>
      <c r="D62" s="11" t="inlineStr">
        <is>
          <t>被仕向</t>
        </is>
      </c>
      <c r="E62" s="11" t="inlineStr">
        <is>
          <t>IC</t>
        </is>
      </c>
      <c r="F62" s="14">
        <f>'比率入力'!$C$12/'比率入力'!$C$15</f>
        <v/>
      </c>
      <c r="G62" s="14">
        <f>'比率入力'!$C$20/'比率入力'!$C$21</f>
        <v/>
      </c>
      <c r="H62" s="14">
        <f>'比率入力'!$C$25/'比率入力'!$C$27</f>
        <v/>
      </c>
      <c r="I62" s="14">
        <f>'比率入力'!$C$31/'比率入力'!$C$33</f>
        <v/>
      </c>
      <c r="J62" s="15">
        <f>F62*G62*H62*I62</f>
        <v/>
      </c>
      <c r="K62" s="16">
        <f>'比率入力'!$B$1*J62</f>
        <v/>
      </c>
      <c r="L62" s="17">
        <f>ROUND(K62,1)</f>
        <v/>
      </c>
    </row>
    <row r="63">
      <c r="A63" s="11" t="n">
        <v>62</v>
      </c>
      <c r="B63" s="11" t="inlineStr">
        <is>
          <t>AEGN</t>
        </is>
      </c>
      <c r="C63" s="11" t="inlineStr">
        <is>
          <t>アドバイス</t>
        </is>
      </c>
      <c r="D63" s="11" t="inlineStr">
        <is>
          <t>被仕向</t>
        </is>
      </c>
      <c r="E63" s="11" t="inlineStr">
        <is>
          <t>MS</t>
        </is>
      </c>
      <c r="F63" s="14">
        <f>'比率入力'!$C$12/'比率入力'!$C$15</f>
        <v/>
      </c>
      <c r="G63" s="14">
        <f>'比率入力'!$C$20/'比率入力'!$C$21</f>
        <v/>
      </c>
      <c r="H63" s="14">
        <f>'比率入力'!$C$25/'比率入力'!$C$27</f>
        <v/>
      </c>
      <c r="I63" s="14">
        <f>'比率入力'!$C$32/'比率入力'!$C$33</f>
        <v/>
      </c>
      <c r="J63" s="15">
        <f>F63*G63*H63*I63</f>
        <v/>
      </c>
      <c r="K63" s="16">
        <f>'比率入力'!$B$1*J63</f>
        <v/>
      </c>
      <c r="L63" s="17">
        <f>ROUND(K63,1)</f>
        <v/>
      </c>
    </row>
    <row r="64">
      <c r="A64" s="11" t="n">
        <v>63</v>
      </c>
      <c r="B64" s="11" t="inlineStr">
        <is>
          <t>AEGN</t>
        </is>
      </c>
      <c r="C64" s="11" t="inlineStr">
        <is>
          <t>アドバイス</t>
        </is>
      </c>
      <c r="D64" s="11" t="inlineStr">
        <is>
          <t>仕向</t>
        </is>
      </c>
      <c r="E64" s="11" t="inlineStr">
        <is>
          <t>IC</t>
        </is>
      </c>
      <c r="F64" s="14">
        <f>'比率入力'!$C$12/'比率入力'!$C$15</f>
        <v/>
      </c>
      <c r="G64" s="14">
        <f>'比率入力'!$C$20/'比率入力'!$C$21</f>
        <v/>
      </c>
      <c r="H64" s="14">
        <f>'比率入力'!$C$26/'比率入力'!$C$27</f>
        <v/>
      </c>
      <c r="I64" s="14">
        <f>'比率入力'!$C$31/'比率入力'!$C$33</f>
        <v/>
      </c>
      <c r="J64" s="15">
        <f>F64*G64*H64*I64</f>
        <v/>
      </c>
      <c r="K64" s="16">
        <f>'比率入力'!$B$1*J64</f>
        <v/>
      </c>
      <c r="L64" s="17">
        <f>ROUND(K64,1)</f>
        <v/>
      </c>
    </row>
    <row r="65">
      <c r="A65" s="11" t="n">
        <v>64</v>
      </c>
      <c r="B65" s="11" t="inlineStr">
        <is>
          <t>AEGN</t>
        </is>
      </c>
      <c r="C65" s="11" t="inlineStr">
        <is>
          <t>アドバイス</t>
        </is>
      </c>
      <c r="D65" s="11" t="inlineStr">
        <is>
          <t>仕向</t>
        </is>
      </c>
      <c r="E65" s="11" t="inlineStr">
        <is>
          <t>MS</t>
        </is>
      </c>
      <c r="F65" s="14">
        <f>'比率入力'!$C$12/'比率入力'!$C$15</f>
        <v/>
      </c>
      <c r="G65" s="14">
        <f>'比率入力'!$C$20/'比率入力'!$C$21</f>
        <v/>
      </c>
      <c r="H65" s="14">
        <f>'比率入力'!$C$26/'比率入力'!$C$27</f>
        <v/>
      </c>
      <c r="I65" s="14">
        <f>'比率入力'!$C$32/'比率入力'!$C$33</f>
        <v/>
      </c>
      <c r="J65" s="15">
        <f>F65*G65*H65*I65</f>
        <v/>
      </c>
      <c r="K65" s="16">
        <f>'比率入力'!$B$1*J65</f>
        <v/>
      </c>
      <c r="L65" s="17">
        <f>ROUND(K65,1)</f>
        <v/>
      </c>
    </row>
    <row r="66">
      <c r="A66" s="11" t="n">
        <v>65</v>
      </c>
      <c r="B66" s="11" t="inlineStr">
        <is>
          <t>NYCE</t>
        </is>
      </c>
      <c r="C66" s="11" t="inlineStr">
        <is>
          <t>オーソリ</t>
        </is>
      </c>
      <c r="D66" s="11" t="inlineStr">
        <is>
          <t>被仕向</t>
        </is>
      </c>
      <c r="E66" s="11" t="inlineStr">
        <is>
          <t>IC</t>
        </is>
      </c>
      <c r="F66" s="14">
        <f>'比率入力'!$C$13/'比率入力'!$C$15</f>
        <v/>
      </c>
      <c r="G66" s="14">
        <f>'比率入力'!$C$19/'比率入力'!$C$21</f>
        <v/>
      </c>
      <c r="H66" s="14">
        <f>'比率入力'!$C$25/'比率入力'!$C$27</f>
        <v/>
      </c>
      <c r="I66" s="14">
        <f>'比率入力'!$C$31/'比率入力'!$C$33</f>
        <v/>
      </c>
      <c r="J66" s="15">
        <f>F66*G66*H66*I66</f>
        <v/>
      </c>
      <c r="K66" s="16">
        <f>'比率入力'!$B$1*J66</f>
        <v/>
      </c>
      <c r="L66" s="17">
        <f>ROUND(K66,1)</f>
        <v/>
      </c>
    </row>
    <row r="67">
      <c r="A67" s="11" t="n">
        <v>66</v>
      </c>
      <c r="B67" s="11" t="inlineStr">
        <is>
          <t>NYCE</t>
        </is>
      </c>
      <c r="C67" s="11" t="inlineStr">
        <is>
          <t>オーソリ</t>
        </is>
      </c>
      <c r="D67" s="11" t="inlineStr">
        <is>
          <t>被仕向</t>
        </is>
      </c>
      <c r="E67" s="11" t="inlineStr">
        <is>
          <t>MS</t>
        </is>
      </c>
      <c r="F67" s="14">
        <f>'比率入力'!$C$13/'比率入力'!$C$15</f>
        <v/>
      </c>
      <c r="G67" s="14">
        <f>'比率入力'!$C$19/'比率入力'!$C$21</f>
        <v/>
      </c>
      <c r="H67" s="14">
        <f>'比率入力'!$C$25/'比率入力'!$C$27</f>
        <v/>
      </c>
      <c r="I67" s="14">
        <f>'比率入力'!$C$32/'比率入力'!$C$33</f>
        <v/>
      </c>
      <c r="J67" s="15">
        <f>F67*G67*H67*I67</f>
        <v/>
      </c>
      <c r="K67" s="16">
        <f>'比率入力'!$B$1*J67</f>
        <v/>
      </c>
      <c r="L67" s="17">
        <f>ROUND(K67,1)</f>
        <v/>
      </c>
    </row>
    <row r="68">
      <c r="A68" s="11" t="n">
        <v>67</v>
      </c>
      <c r="B68" s="11" t="inlineStr">
        <is>
          <t>NYCE</t>
        </is>
      </c>
      <c r="C68" s="11" t="inlineStr">
        <is>
          <t>オーソリ</t>
        </is>
      </c>
      <c r="D68" s="11" t="inlineStr">
        <is>
          <t>仕向</t>
        </is>
      </c>
      <c r="E68" s="11" t="inlineStr">
        <is>
          <t>IC</t>
        </is>
      </c>
      <c r="F68" s="14">
        <f>'比率入力'!$C$13/'比率入力'!$C$15</f>
        <v/>
      </c>
      <c r="G68" s="14">
        <f>'比率入力'!$C$19/'比率入力'!$C$21</f>
        <v/>
      </c>
      <c r="H68" s="14">
        <f>'比率入力'!$C$26/'比率入力'!$C$27</f>
        <v/>
      </c>
      <c r="I68" s="14">
        <f>'比率入力'!$C$31/'比率入力'!$C$33</f>
        <v/>
      </c>
      <c r="J68" s="15">
        <f>F68*G68*H68*I68</f>
        <v/>
      </c>
      <c r="K68" s="16">
        <f>'比率入力'!$B$1*J68</f>
        <v/>
      </c>
      <c r="L68" s="17">
        <f>ROUND(K68,1)</f>
        <v/>
      </c>
    </row>
    <row r="69">
      <c r="A69" s="11" t="n">
        <v>68</v>
      </c>
      <c r="B69" s="11" t="inlineStr">
        <is>
          <t>NYCE</t>
        </is>
      </c>
      <c r="C69" s="11" t="inlineStr">
        <is>
          <t>オーソリ</t>
        </is>
      </c>
      <c r="D69" s="11" t="inlineStr">
        <is>
          <t>仕向</t>
        </is>
      </c>
      <c r="E69" s="11" t="inlineStr">
        <is>
          <t>MS</t>
        </is>
      </c>
      <c r="F69" s="14">
        <f>'比率入力'!$C$13/'比率入力'!$C$15</f>
        <v/>
      </c>
      <c r="G69" s="14">
        <f>'比率入力'!$C$19/'比率入力'!$C$21</f>
        <v/>
      </c>
      <c r="H69" s="14">
        <f>'比率入力'!$C$26/'比率入力'!$C$27</f>
        <v/>
      </c>
      <c r="I69" s="14">
        <f>'比率入力'!$C$32/'比率入力'!$C$33</f>
        <v/>
      </c>
      <c r="J69" s="15">
        <f>F69*G69*H69*I69</f>
        <v/>
      </c>
      <c r="K69" s="16">
        <f>'比率入力'!$B$1*J69</f>
        <v/>
      </c>
      <c r="L69" s="17">
        <f>ROUND(K69,1)</f>
        <v/>
      </c>
    </row>
    <row r="70">
      <c r="A70" s="11" t="n">
        <v>69</v>
      </c>
      <c r="B70" s="11" t="inlineStr">
        <is>
          <t>NYCE</t>
        </is>
      </c>
      <c r="C70" s="11" t="inlineStr">
        <is>
          <t>アドバイス</t>
        </is>
      </c>
      <c r="D70" s="11" t="inlineStr">
        <is>
          <t>被仕向</t>
        </is>
      </c>
      <c r="E70" s="11" t="inlineStr">
        <is>
          <t>IC</t>
        </is>
      </c>
      <c r="F70" s="14">
        <f>'比率入力'!$C$13/'比率入力'!$C$15</f>
        <v/>
      </c>
      <c r="G70" s="14">
        <f>'比率入力'!$C$20/'比率入力'!$C$21</f>
        <v/>
      </c>
      <c r="H70" s="14">
        <f>'比率入力'!$C$25/'比率入力'!$C$27</f>
        <v/>
      </c>
      <c r="I70" s="14">
        <f>'比率入力'!$C$31/'比率入力'!$C$33</f>
        <v/>
      </c>
      <c r="J70" s="15">
        <f>F70*G70*H70*I70</f>
        <v/>
      </c>
      <c r="K70" s="16">
        <f>'比率入力'!$B$1*J70</f>
        <v/>
      </c>
      <c r="L70" s="17">
        <f>ROUND(K70,1)</f>
        <v/>
      </c>
    </row>
    <row r="71">
      <c r="A71" s="11" t="n">
        <v>70</v>
      </c>
      <c r="B71" s="11" t="inlineStr">
        <is>
          <t>NYCE</t>
        </is>
      </c>
      <c r="C71" s="11" t="inlineStr">
        <is>
          <t>アドバイス</t>
        </is>
      </c>
      <c r="D71" s="11" t="inlineStr">
        <is>
          <t>被仕向</t>
        </is>
      </c>
      <c r="E71" s="11" t="inlineStr">
        <is>
          <t>MS</t>
        </is>
      </c>
      <c r="F71" s="14">
        <f>'比率入力'!$C$13/'比率入力'!$C$15</f>
        <v/>
      </c>
      <c r="G71" s="14">
        <f>'比率入力'!$C$20/'比率入力'!$C$21</f>
        <v/>
      </c>
      <c r="H71" s="14">
        <f>'比率入力'!$C$25/'比率入力'!$C$27</f>
        <v/>
      </c>
      <c r="I71" s="14">
        <f>'比率入力'!$C$32/'比率入力'!$C$33</f>
        <v/>
      </c>
      <c r="J71" s="15">
        <f>F71*G71*H71*I71</f>
        <v/>
      </c>
      <c r="K71" s="16">
        <f>'比率入力'!$B$1*J71</f>
        <v/>
      </c>
      <c r="L71" s="17">
        <f>ROUND(K71,1)</f>
        <v/>
      </c>
    </row>
    <row r="72">
      <c r="A72" s="11" t="n">
        <v>71</v>
      </c>
      <c r="B72" s="11" t="inlineStr">
        <is>
          <t>NYCE</t>
        </is>
      </c>
      <c r="C72" s="11" t="inlineStr">
        <is>
          <t>アドバイス</t>
        </is>
      </c>
      <c r="D72" s="11" t="inlineStr">
        <is>
          <t>仕向</t>
        </is>
      </c>
      <c r="E72" s="11" t="inlineStr">
        <is>
          <t>IC</t>
        </is>
      </c>
      <c r="F72" s="14">
        <f>'比率入力'!$C$13/'比率入力'!$C$15</f>
        <v/>
      </c>
      <c r="G72" s="14">
        <f>'比率入力'!$C$20/'比率入力'!$C$21</f>
        <v/>
      </c>
      <c r="H72" s="14">
        <f>'比率入力'!$C$26/'比率入力'!$C$27</f>
        <v/>
      </c>
      <c r="I72" s="14">
        <f>'比率入力'!$C$31/'比率入力'!$C$33</f>
        <v/>
      </c>
      <c r="J72" s="15">
        <f>F72*G72*H72*I72</f>
        <v/>
      </c>
      <c r="K72" s="16">
        <f>'比率入力'!$B$1*J72</f>
        <v/>
      </c>
      <c r="L72" s="17">
        <f>ROUND(K72,1)</f>
        <v/>
      </c>
    </row>
    <row r="73">
      <c r="A73" s="11" t="n">
        <v>72</v>
      </c>
      <c r="B73" s="11" t="inlineStr">
        <is>
          <t>NYCE</t>
        </is>
      </c>
      <c r="C73" s="11" t="inlineStr">
        <is>
          <t>アドバイス</t>
        </is>
      </c>
      <c r="D73" s="11" t="inlineStr">
        <is>
          <t>仕向</t>
        </is>
      </c>
      <c r="E73" s="11" t="inlineStr">
        <is>
          <t>MS</t>
        </is>
      </c>
      <c r="F73" s="14">
        <f>'比率入力'!$C$13/'比率入力'!$C$15</f>
        <v/>
      </c>
      <c r="G73" s="14">
        <f>'比率入力'!$C$20/'比率入力'!$C$21</f>
        <v/>
      </c>
      <c r="H73" s="14">
        <f>'比率入力'!$C$26/'比率入力'!$C$27</f>
        <v/>
      </c>
      <c r="I73" s="14">
        <f>'比率入力'!$C$32/'比率入力'!$C$33</f>
        <v/>
      </c>
      <c r="J73" s="15">
        <f>F73*G73*H73*I73</f>
        <v/>
      </c>
      <c r="K73" s="16">
        <f>'比率入力'!$B$1*J73</f>
        <v/>
      </c>
      <c r="L73" s="17">
        <f>ROUND(K73,1)</f>
        <v/>
      </c>
    </row>
    <row r="74">
      <c r="A74" s="11" t="n">
        <v>73</v>
      </c>
      <c r="B74" s="11" t="inlineStr">
        <is>
          <t>PA</t>
        </is>
      </c>
      <c r="C74" s="11" t="inlineStr">
        <is>
          <t>オーソリ</t>
        </is>
      </c>
      <c r="D74" s="11" t="inlineStr">
        <is>
          <t>被仕向</t>
        </is>
      </c>
      <c r="E74" s="11" t="inlineStr">
        <is>
          <t>IC</t>
        </is>
      </c>
      <c r="F74" s="14">
        <f>'比率入力'!$C$14/'比率入力'!$C$15</f>
        <v/>
      </c>
      <c r="G74" s="14">
        <f>'比率入力'!$C$19/'比率入力'!$C$21</f>
        <v/>
      </c>
      <c r="H74" s="14">
        <f>'比率入力'!$C$25/'比率入力'!$C$27</f>
        <v/>
      </c>
      <c r="I74" s="14">
        <f>'比率入力'!$C$31/'比率入力'!$C$33</f>
        <v/>
      </c>
      <c r="J74" s="15">
        <f>F74*G74*H74*I74</f>
        <v/>
      </c>
      <c r="K74" s="16">
        <f>'比率入力'!$B$1*J74</f>
        <v/>
      </c>
      <c r="L74" s="17">
        <f>ROUND(K74,1)</f>
        <v/>
      </c>
    </row>
    <row r="75">
      <c r="A75" s="11" t="n">
        <v>74</v>
      </c>
      <c r="B75" s="11" t="inlineStr">
        <is>
          <t>PA</t>
        </is>
      </c>
      <c r="C75" s="11" t="inlineStr">
        <is>
          <t>オーソリ</t>
        </is>
      </c>
      <c r="D75" s="11" t="inlineStr">
        <is>
          <t>被仕向</t>
        </is>
      </c>
      <c r="E75" s="11" t="inlineStr">
        <is>
          <t>MS</t>
        </is>
      </c>
      <c r="F75" s="14">
        <f>'比率入力'!$C$14/'比率入力'!$C$15</f>
        <v/>
      </c>
      <c r="G75" s="14">
        <f>'比率入力'!$C$19/'比率入力'!$C$21</f>
        <v/>
      </c>
      <c r="H75" s="14">
        <f>'比率入力'!$C$25/'比率入力'!$C$27</f>
        <v/>
      </c>
      <c r="I75" s="14">
        <f>'比率入力'!$C$32/'比率入力'!$C$33</f>
        <v/>
      </c>
      <c r="J75" s="15">
        <f>F75*G75*H75*I75</f>
        <v/>
      </c>
      <c r="K75" s="16">
        <f>'比率入力'!$B$1*J75</f>
        <v/>
      </c>
      <c r="L75" s="17">
        <f>ROUND(K75,1)</f>
        <v/>
      </c>
    </row>
    <row r="76">
      <c r="A76" s="11" t="n">
        <v>75</v>
      </c>
      <c r="B76" s="11" t="inlineStr">
        <is>
          <t>PA</t>
        </is>
      </c>
      <c r="C76" s="11" t="inlineStr">
        <is>
          <t>オーソリ</t>
        </is>
      </c>
      <c r="D76" s="11" t="inlineStr">
        <is>
          <t>仕向</t>
        </is>
      </c>
      <c r="E76" s="11" t="inlineStr">
        <is>
          <t>IC</t>
        </is>
      </c>
      <c r="F76" s="14">
        <f>'比率入力'!$C$14/'比率入力'!$C$15</f>
        <v/>
      </c>
      <c r="G76" s="14">
        <f>'比率入力'!$C$19/'比率入力'!$C$21</f>
        <v/>
      </c>
      <c r="H76" s="14">
        <f>'比率入力'!$C$26/'比率入力'!$C$27</f>
        <v/>
      </c>
      <c r="I76" s="14">
        <f>'比率入力'!$C$31/'比率入力'!$C$33</f>
        <v/>
      </c>
      <c r="J76" s="15">
        <f>F76*G76*H76*I76</f>
        <v/>
      </c>
      <c r="K76" s="16">
        <f>'比率入力'!$B$1*J76</f>
        <v/>
      </c>
      <c r="L76" s="17">
        <f>ROUND(K76,1)</f>
        <v/>
      </c>
    </row>
    <row r="77">
      <c r="A77" s="11" t="n">
        <v>76</v>
      </c>
      <c r="B77" s="11" t="inlineStr">
        <is>
          <t>PA</t>
        </is>
      </c>
      <c r="C77" s="11" t="inlineStr">
        <is>
          <t>オーソリ</t>
        </is>
      </c>
      <c r="D77" s="11" t="inlineStr">
        <is>
          <t>仕向</t>
        </is>
      </c>
      <c r="E77" s="11" t="inlineStr">
        <is>
          <t>MS</t>
        </is>
      </c>
      <c r="F77" s="14">
        <f>'比率入力'!$C$14/'比率入力'!$C$15</f>
        <v/>
      </c>
      <c r="G77" s="14">
        <f>'比率入力'!$C$19/'比率入力'!$C$21</f>
        <v/>
      </c>
      <c r="H77" s="14">
        <f>'比率入力'!$C$26/'比率入力'!$C$27</f>
        <v/>
      </c>
      <c r="I77" s="14">
        <f>'比率入力'!$C$32/'比率入力'!$C$33</f>
        <v/>
      </c>
      <c r="J77" s="15">
        <f>F77*G77*H77*I77</f>
        <v/>
      </c>
      <c r="K77" s="16">
        <f>'比率入力'!$B$1*J77</f>
        <v/>
      </c>
      <c r="L77" s="17">
        <f>ROUND(K77,1)</f>
        <v/>
      </c>
    </row>
    <row r="78">
      <c r="A78" s="11" t="n">
        <v>77</v>
      </c>
      <c r="B78" s="11" t="inlineStr">
        <is>
          <t>PA</t>
        </is>
      </c>
      <c r="C78" s="11" t="inlineStr">
        <is>
          <t>アドバイス</t>
        </is>
      </c>
      <c r="D78" s="11" t="inlineStr">
        <is>
          <t>被仕向</t>
        </is>
      </c>
      <c r="E78" s="11" t="inlineStr">
        <is>
          <t>IC</t>
        </is>
      </c>
      <c r="F78" s="14">
        <f>'比率入力'!$C$14/'比率入力'!$C$15</f>
        <v/>
      </c>
      <c r="G78" s="14">
        <f>'比率入力'!$C$20/'比率入力'!$C$21</f>
        <v/>
      </c>
      <c r="H78" s="14">
        <f>'比率入力'!$C$25/'比率入力'!$C$27</f>
        <v/>
      </c>
      <c r="I78" s="14">
        <f>'比率入力'!$C$31/'比率入力'!$C$33</f>
        <v/>
      </c>
      <c r="J78" s="15">
        <f>F78*G78*H78*I78</f>
        <v/>
      </c>
      <c r="K78" s="16">
        <f>'比率入力'!$B$1*J78</f>
        <v/>
      </c>
      <c r="L78" s="17">
        <f>ROUND(K78,1)</f>
        <v/>
      </c>
    </row>
    <row r="79">
      <c r="A79" s="11" t="n">
        <v>78</v>
      </c>
      <c r="B79" s="11" t="inlineStr">
        <is>
          <t>PA</t>
        </is>
      </c>
      <c r="C79" s="11" t="inlineStr">
        <is>
          <t>アドバイス</t>
        </is>
      </c>
      <c r="D79" s="11" t="inlineStr">
        <is>
          <t>被仕向</t>
        </is>
      </c>
      <c r="E79" s="11" t="inlineStr">
        <is>
          <t>MS</t>
        </is>
      </c>
      <c r="F79" s="14">
        <f>'比率入力'!$C$14/'比率入力'!$C$15</f>
        <v/>
      </c>
      <c r="G79" s="14">
        <f>'比率入力'!$C$20/'比率入力'!$C$21</f>
        <v/>
      </c>
      <c r="H79" s="14">
        <f>'比率入力'!$C$25/'比率入力'!$C$27</f>
        <v/>
      </c>
      <c r="I79" s="14">
        <f>'比率入力'!$C$32/'比率入力'!$C$33</f>
        <v/>
      </c>
      <c r="J79" s="15">
        <f>F79*G79*H79*I79</f>
        <v/>
      </c>
      <c r="K79" s="16">
        <f>'比率入力'!$B$1*J79</f>
        <v/>
      </c>
      <c r="L79" s="17">
        <f>ROUND(K79,1)</f>
        <v/>
      </c>
    </row>
    <row r="80">
      <c r="A80" s="11" t="n">
        <v>79</v>
      </c>
      <c r="B80" s="11" t="inlineStr">
        <is>
          <t>PA</t>
        </is>
      </c>
      <c r="C80" s="11" t="inlineStr">
        <is>
          <t>アドバイス</t>
        </is>
      </c>
      <c r="D80" s="11" t="inlineStr">
        <is>
          <t>仕向</t>
        </is>
      </c>
      <c r="E80" s="11" t="inlineStr">
        <is>
          <t>IC</t>
        </is>
      </c>
      <c r="F80" s="14">
        <f>'比率入力'!$C$14/'比率入力'!$C$15</f>
        <v/>
      </c>
      <c r="G80" s="14">
        <f>'比率入力'!$C$20/'比率入力'!$C$21</f>
        <v/>
      </c>
      <c r="H80" s="14">
        <f>'比率入力'!$C$26/'比率入力'!$C$27</f>
        <v/>
      </c>
      <c r="I80" s="14">
        <f>'比率入力'!$C$31/'比率入力'!$C$33</f>
        <v/>
      </c>
      <c r="J80" s="15">
        <f>F80*G80*H80*I80</f>
        <v/>
      </c>
      <c r="K80" s="16">
        <f>'比率入力'!$B$1*J80</f>
        <v/>
      </c>
      <c r="L80" s="17">
        <f>ROUND(K80,1)</f>
        <v/>
      </c>
    </row>
    <row r="81">
      <c r="A81" s="11" t="n">
        <v>80</v>
      </c>
      <c r="B81" s="11" t="inlineStr">
        <is>
          <t>PA</t>
        </is>
      </c>
      <c r="C81" s="11" t="inlineStr">
        <is>
          <t>アドバイス</t>
        </is>
      </c>
      <c r="D81" s="11" t="inlineStr">
        <is>
          <t>仕向</t>
        </is>
      </c>
      <c r="E81" s="11" t="inlineStr">
        <is>
          <t>MS</t>
        </is>
      </c>
      <c r="F81" s="14">
        <f>'比率入力'!$C$14/'比率入力'!$C$15</f>
        <v/>
      </c>
      <c r="G81" s="14">
        <f>'比率入力'!$C$20/'比率入力'!$C$21</f>
        <v/>
      </c>
      <c r="H81" s="14">
        <f>'比率入力'!$C$26/'比率入力'!$C$27</f>
        <v/>
      </c>
      <c r="I81" s="14">
        <f>'比率入力'!$C$32/'比率入力'!$C$33</f>
        <v/>
      </c>
      <c r="J81" s="15">
        <f>F81*G81*H81*I81</f>
        <v/>
      </c>
      <c r="K81" s="16">
        <f>'比率入力'!$B$1*J81</f>
        <v/>
      </c>
      <c r="L81" s="17">
        <f>ROUND(K81,1)</f>
        <v/>
      </c>
    </row>
    <row r="82">
      <c r="B82" s="5" t="inlineStr">
        <is>
          <t>合計</t>
        </is>
      </c>
      <c r="J82" s="18">
        <f>SUM(J2:J81)</f>
        <v/>
      </c>
      <c r="K82" s="19">
        <f>SUM(K2:K81)</f>
        <v/>
      </c>
      <c r="L82" s="19">
        <f>SUM(L2:L81)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2026-06-16T04:07:32Z</dcterms:created>
  <dcterms:modified xsi:type="dcterms:W3CDTF">2026-06-16T04:07:32Z</dcterms:modified>
</cp:coreProperties>
</file>